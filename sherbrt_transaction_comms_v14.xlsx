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Scenarios" sheetId="2" state="visible" r:id="rId4"/>
    <sheet name="Log" sheetId="3" state="visible" r:id="rId5"/>
    <sheet name="Legend" sheetId="4" state="visible" r:id="rId6"/>
    <sheet name="Future Comms" sheetId="5" state="visible" r:id="rId7"/>
    <sheet name="Late-Fee Charging Dry-Run" sheetId="6" state="visible" r:id="rId8"/>
    <sheet name="Inbox Comms" sheetId="7" state="visible" r:id="rId9"/>
  </sheets>
  <definedNames>
    <definedName function="false" hidden="true" localSheetId="4" name="_xlnm._FilterDatabase" vbProcedure="false">'Future Comms'!$A$4:$J$7</definedName>
    <definedName function="false" hidden="true" localSheetId="2" name="_xlnm._FilterDatabase" vbProcedure="false">Log!$A$4:$N$28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<sst xmlns="http://schemas.openxmlformats.org/spreadsheetml/2006/main" count="1349" uniqueCount="767">
  <si>
    <t xml:space="preserve">Comms Log — Summary</t>
  </si>
  <si>
    <t xml:space="preserve">Live counts — update automatically as you edit the Comms Log tab.</t>
  </si>
  <si>
    <t xml:space="preserve">Metric</t>
  </si>
  <si>
    <t xml:space="preserve">SMS</t>
  </si>
  <si>
    <t xml:space="preserve">Email</t>
  </si>
  <si>
    <t xml:space="preserve">Total</t>
  </si>
  <si>
    <t xml:space="preserve">Total messages</t>
  </si>
  <si>
    <t xml:space="preserve">Sent to Lender</t>
  </si>
  <si>
    <t xml:space="preserve">Sent to Borrower</t>
  </si>
  <si>
    <t xml:space="preserve">Verified</t>
  </si>
  <si>
    <t xml:space="preserve">Needs attention</t>
  </si>
  <si>
    <t xml:space="preserve">Edit messaging on the "Log" tab. Placeholder keys live on the "Legend" tab.</t>
  </si>
  <si>
    <t xml:space="preserve">Test Scenarios — Transaction Comms QA</t>
  </si>
  <si>
    <t xml:space="preserve">Live-data test plan for validating every SMS and email touchpoint. Scenarios ordered chronologically by where they diverge in the booking lifecycle. Priority: P0 = this sprint, P1 = next, P2 = edge / nice-to-have. AUTO_CANCEL_DRY_RUN=0 (live mode) and process.edn alias on v5 (24h lender expire) as of April 23 2026.</t>
  </si>
  <si>
    <t xml:space="preserve">  TEST ACCOUNTS</t>
  </si>
  <si>
    <t xml:space="preserve">Role</t>
  </si>
  <si>
    <t xml:space="preserve">First Name</t>
  </si>
  <si>
    <t xml:space="preserve">Last Name</t>
  </si>
  <si>
    <t xml:space="preserve">Phone</t>
  </si>
  <si>
    <t xml:space="preserve">Address</t>
  </si>
  <si>
    <t xml:space="preserve">Borrower</t>
  </si>
  <si>
    <t xml:space="preserve">&lt;scenario&gt;</t>
  </si>
  <si>
    <t xml:space="preserve">BORROWER</t>
  </si>
  <si>
    <t xml:space="preserve">amalia@shoponsherbet.com</t>
  </si>
  <si>
    <t xml:space="preserve">4152023068</t>
  </si>
  <si>
    <t xml:space="preserve">1795 Chestnut St Apt 7, San Francisco, CA 94123</t>
  </si>
  <si>
    <t xml:space="preserve">Lender</t>
  </si>
  <si>
    <t xml:space="preserve">LENDER</t>
  </si>
  <si>
    <t xml:space="preserve">amaliaebornstein@gmail.com</t>
  </si>
  <si>
    <t xml:space="preserve">5103977781</t>
  </si>
  <si>
    <t xml:space="preserve">1745 Pacific Ave Apt 202, San Francisco, CA 94109</t>
  </si>
  <si>
    <t xml:space="preserve">  NAMING CONVENTION</t>
  </si>
  <si>
    <t xml:space="preserve">Set the borrower's and lender's first names to the scenario label (e.g. 'IDEAL', 'IGNORED', 'DECLINED', 'UNSHIPPED', 'LATE', 'SUNDAY'). SMS copy interpolates ${borrowerFirstName} / ${lenderFirstName}, so the scenario name appears in every message — makes Twilio + SendGrid log inspection trivial.</t>
  </si>
  <si>
    <t xml:space="preserve">  SCENARIO OVERVIEW</t>
  </si>
  <si>
    <t xml:space="preserve">#</t>
  </si>
  <si>
    <t xml:space="preserve">Priority</t>
  </si>
  <si>
    <t xml:space="preserve">Label</t>
  </si>
  <si>
    <t xml:space="preserve">Phase</t>
  </si>
  <si>
    <t xml:space="preserve">Description</t>
  </si>
  <si>
    <t xml:space="preserve">Touchpoints exercised</t>
  </si>
  <si>
    <t xml:space="preserve">Risk level</t>
  </si>
  <si>
    <t xml:space="preserve">Status</t>
  </si>
  <si>
    <t xml:space="preserve">Notes</t>
  </si>
  <si>
    <t xml:space="preserve">1</t>
  </si>
  <si>
    <t xml:space="preserve">P0</t>
  </si>
  <si>
    <t xml:space="preserve">IDEAL</t>
  </si>
  <si>
    <t xml:space="preserve">Full happy path</t>
  </si>
  <si>
    <t xml:space="preserve">Borrower books, lender accepts within 60m, ships on time, borrower receives + returns on time, lender receives.</t>
  </si>
  <si>
    <t xml:space="preserve">1, 2a, 2c, 3, 4, 6, 7, 8, 10, 11</t>
  </si>
  <si>
    <t xml:space="preserve">LOW — no payment events</t>
  </si>
  <si>
    <t xml:space="preserve">Eligible</t>
  </si>
  <si>
    <t xml:space="preserve">Run this first as a smoke test of all Verified rows.</t>
  </si>
  <si>
    <t xml:space="preserve">2</t>
  </si>
  <si>
    <t xml:space="preserve">IGNORED</t>
  </si>
  <si>
    <t xml:space="preserve">Lender response window</t>
  </si>
  <si>
    <t xml:space="preserve">Lender never accepts. Triggers 24h auto-expire (process.edn v5).</t>
  </si>
  <si>
    <t xml:space="preserve">1, 1a (60m), 1b (22h), Sharetribe expire email</t>
  </si>
  <si>
    <t xml:space="preserve">LOW — borrower auto-refunded, no charges</t>
  </si>
  <si>
    <t xml:space="preserve">NEW: 1b-SMS at 22h is the 2-phase escalation final warning.</t>
  </si>
  <si>
    <t xml:space="preserve">3</t>
  </si>
  <si>
    <t xml:space="preserve">P1</t>
  </si>
  <si>
    <t xml:space="preserve">DECLINED</t>
  </si>
  <si>
    <t xml:space="preserve">Lender taps Decline within 60m. Borrower auto-refunded.</t>
  </si>
  <si>
    <t xml:space="preserve">1, 2b-SMS, 2b-Email</t>
  </si>
  <si>
    <t xml:space="preserve">LOW</t>
  </si>
  <si>
    <t xml:space="preserve">Promotes 2b-SMS + 2b-Email to Verified on pass.</t>
  </si>
  <si>
    <t xml:space="preserve">4</t>
  </si>
  <si>
    <t xml:space="preserve">UNSHIPPED</t>
  </si>
  <si>
    <t xml:space="preserve">Outbound shipping window</t>
  </si>
  <si>
    <t xml:space="preserve">Lender accepts but never ships. Triggers auto-cancel at bookingStart D + 12h scan-lag grace.</t>
  </si>
  <si>
    <t xml:space="preserve">1, 2a, 2c, 3, 3.1, 3.1b, 3.2, 3.2b</t>
  </si>
  <si>
    <t xml:space="preserve">MEDIUM — real refund + label voids</t>
  </si>
  <si>
    <t xml:space="preserve">AUTO_CANCEL_DRY_RUN=0 is live; this is a real cancel test.</t>
  </si>
  <si>
    <t xml:space="preserve">5</t>
  </si>
  <si>
    <t xml:space="preserve">LATE RETURN</t>
  </si>
  <si>
    <t xml:space="preserve">Post-delivery return window</t>
  </si>
  <si>
    <t xml:space="preserve">Borrower keeps item past return date. Day 1–6 overdue flow + $0.50 test charges (PR-4 dry-run).</t>
  </si>
  <si>
    <t xml:space="preserve">1, 2a, 2c, 3, 4, 6, 7, 8, 9.1–9.6, 9.6-Email, 9.7-Email, optionally 10/11</t>
  </si>
  <si>
    <t xml:space="preserve">HIGH — real Stripe charges</t>
  </si>
  <si>
    <t xml:space="preserve">Eligible (env vars required)</t>
  </si>
  <si>
    <t xml:space="preserve">Set LATE_FEE_CENTS_OVERRIDE=50 and OVERDUE_FEES_CHARGING_ENABLED=true in Render before running.</t>
  </si>
  <si>
    <t xml:space="preserve">6</t>
  </si>
  <si>
    <t xml:space="preserve">P2</t>
  </si>
  <si>
    <t xml:space="preserve">SUNDAY EDGE</t>
  </si>
  <si>
    <t xml:space="preserve">Calendar edge cases</t>
  </si>
  <si>
    <t xml:space="preserve">3 sub-cases: A=ship-by Sunday → Saturday adjust, B=Sunday end-date banner, C=Saturday reminder fire for Monday shipBy.</t>
  </si>
  <si>
    <t xml:space="preserve">shipByDate adjust, Sunday banner UI, 3.1-SMS Saturday-fire</t>
  </si>
  <si>
    <t xml:space="preserve">Run independently as 3 separate bookings.</t>
  </si>
  <si>
    <t xml:space="preserve">  SCENARIO 1 — IDEAL  (baseline happy path)  [P0]</t>
  </si>
  <si>
    <t xml:space="preserve">Goal</t>
  </si>
  <si>
    <t xml:space="preserve">Confirm the full baseline comms flow fires exactly once in correct order with no stragglers.</t>
  </si>
  <si>
    <t xml:space="preserve">Setup</t>
  </si>
  <si>
    <t xml:space="preserve">1. Create borrower &amp; lender test accounts (first names "IDEAL"). 2. Lender lists a cheap test item (e.g. $5/day, 3-day booking). 3. Borrower submits request. 4. Lender accepts within 60m (so 1a/1b nudges should NOT fire). 5. Lender ships on/before ship-by date. 6. Borrower receives, then ships return on time. 7. Lender receives.</t>
  </si>
  <si>
    <t xml:space="preserve">Related PR / Feature</t>
  </si>
  <si>
    <t xml:space="preserve">Baseline — not tied to a specific PR. Regression check for all Verified comms.</t>
  </si>
  <si>
    <t xml:space="preserve">How to observe</t>
  </si>
  <si>
    <t xml:space="preserve">Twilio console (filter by to-number), SendGrid activity feed (filter by recipient), Sharetribe Console → Transactions → latest tx → protectedData, Render logs filtered by scenario first-name "IDEAL".</t>
  </si>
  <si>
    <t xml:space="preserve">AUTO_CANCEL_DRY_RUN=0 is live; if the lender accidentally misses the ship-by, this scenario will branch into Scenario 4 territory.</t>
  </si>
  <si>
    <t xml:space="preserve">  Expected comms (should FIRE)</t>
  </si>
  <si>
    <t xml:space="preserve">ID</t>
  </si>
  <si>
    <t xml:space="preserve">Flow Step</t>
  </si>
  <si>
    <t xml:space="preserve">Channel</t>
  </si>
  <si>
    <t xml:space="preserve">Recipient</t>
  </si>
  <si>
    <t xml:space="preserve">Event / Trigger</t>
  </si>
  <si>
    <t xml:space="preserve">Timing</t>
  </si>
  <si>
    <t xml:space="preserve">Message Copy</t>
  </si>
  <si>
    <t xml:space="preserve">Pass?</t>
  </si>
  <si>
    <t xml:space="preserve">1-SMS</t>
  </si>
  <si>
    <t xml:space="preserve">1 - New borrow request</t>
  </si>
  <si>
    <t xml:space="preserve">Request created</t>
  </si>
  <si>
    <t xml:space="preserve">Immediate on submit</t>
  </si>
  <si>
    <t xml:space="preserve">Sherbrt 🍧: ... You have 24hrs to accept: [request_link].</t>
  </si>
  <si>
    <t xml:space="preserve">1-Email</t>
  </si>
  <si>
    <t xml:space="preserve">Sharetribe template booking-new-request — date enforces 24h (delayed-transition.run-at).</t>
  </si>
  <si>
    <t xml:space="preserve">2a-SMS</t>
  </si>
  <si>
    <t xml:space="preserve">2a - Request accepted</t>
  </si>
  <si>
    <t xml:space="preserve">Lender accepts</t>
  </si>
  <si>
    <t xml:space="preserve">Immediate on accept transition</t>
  </si>
  <si>
    <t xml:space="preserve">🎉 Sherbrt 🍧: Your request for "[Item]" was accepted! ...</t>
  </si>
  <si>
    <t xml:space="preserve">2a-Email</t>
  </si>
  <si>
    <t xml:space="preserve">Sharetribe template booking-accepted-request</t>
  </si>
  <si>
    <t xml:space="preserve">2c-SMS</t>
  </si>
  <si>
    <t xml:space="preserve">2c - Return Label Provided</t>
  </si>
  <si>
    <t xml:space="preserve">Lender accepts (same accept transition)</t>
  </si>
  <si>
    <t xml:space="preserve">📦 Your return label is ready! Use this to ship back: [Label link]</t>
  </si>
  <si>
    <t xml:space="preserve">3-SMS</t>
  </si>
  <si>
    <t xml:space="preserve">3 - Outbound label / QR created</t>
  </si>
  <si>
    <t xml:space="preserve">Outbound shipping label or QR created</t>
  </si>
  <si>
    <t xml:space="preserve">When label creation succeeds (~immediately after accept)</t>
  </si>
  <si>
    <t xml:space="preserve">Sherbrt 🍧: Ship "[Item]" by [Ship-by Date]. Shipping label: [qr_or_label_link].</t>
  </si>
  <si>
    <t xml:space="preserve">4-SMS</t>
  </si>
  <si>
    <t xml:space="preserve">4 - Item shipped (outbound)</t>
  </si>
  <si>
    <t xml:space="preserve">First "accepted" carrier scan (outbound)</t>
  </si>
  <si>
    <t xml:space="preserve">On first scan</t>
  </si>
  <si>
    <t xml:space="preserve">🚚 Sherbrt 🍧: "[Item]" is on its way! Tracking info: [tracking_link].</t>
  </si>
  <si>
    <t xml:space="preserve">6-SMS</t>
  </si>
  <si>
    <t xml:space="preserve">6 - Item delivered to borrower</t>
  </si>
  <si>
    <t xml:space="preserve">Delivered scan (outbound)</t>
  </si>
  <si>
    <t xml:space="preserve">On first delivered scan</t>
  </si>
  <si>
    <t xml:space="preserve">🎁 Your Sherbrt borrow has arrived! ...</t>
  </si>
  <si>
    <t xml:space="preserve">7-SMS</t>
  </si>
  <si>
    <t xml:space="preserve">7 - Borrower Return Reminder</t>
  </si>
  <si>
    <t xml:space="preserve">T-1 to return date AND no return scan</t>
  </si>
  <si>
    <t xml:space="preserve">T-1 to [Return Date] (PT morning, gated by quiet-hours)</t>
  </si>
  <si>
    <t xml:space="preserve">📦 Sherbrt 🍧: It's almost return time! Use your QR/label to ship "[Item]" back tomorrow: [link].</t>
  </si>
  <si>
    <t xml:space="preserve">8-SMS</t>
  </si>
  <si>
    <t xml:space="preserve">8 - Day-of-return reminder</t>
  </si>
  <si>
    <t xml:space="preserve">[Return Date] AND no return scan</t>
  </si>
  <si>
    <t xml:space="preserve">Morning of [Return Date]</t>
  </si>
  <si>
    <t xml:space="preserve">⏰ Sherbrt 🍧: Today's the day for you to ship back "[Item]"! Late returns may incur $15/day fees. ...</t>
  </si>
  <si>
    <t xml:space="preserve">10-SMS</t>
  </si>
  <si>
    <t xml:space="preserve">10 - Item shipped (return)</t>
  </si>
  <si>
    <t xml:space="preserve">Return label first scan</t>
  </si>
  <si>
    <t xml:space="preserve">Immediate</t>
  </si>
  <si>
    <t xml:space="preserve">📬 Sherbrt 🍧: "[Item]" is on its way back to you! Track the return here: [tracking_link].</t>
  </si>
  <si>
    <t xml:space="preserve">11-SMS</t>
  </si>
  <si>
    <t xml:space="preserve">11 - Return delivered to lender</t>
  </si>
  <si>
    <t xml:space="preserve">Return delivered scan</t>
  </si>
  <si>
    <t xml:space="preserve">On first delivered scan (return)</t>
  </si>
  <si>
    <t xml:space="preserve">📦 Sherbrt 🍧: "[Item]" is back home! Thanks for sharing your style! 🫶🏽</t>
  </si>
  <si>
    <t xml:space="preserve">  Comms that must NOT fire (verify absence)</t>
  </si>
  <si>
    <t xml:space="preserve">Log ID</t>
  </si>
  <si>
    <t xml:space="preserve">Why it must NOT fire</t>
  </si>
  <si>
    <t xml:space="preserve">Absent?</t>
  </si>
  <si>
    <t xml:space="preserve">1a-SMS</t>
  </si>
  <si>
    <t xml:space="preserve">Lender accepted within 60m — nudge should not fire</t>
  </si>
  <si>
    <t xml:space="preserve">1b-SMS</t>
  </si>
  <si>
    <t xml:space="preserve">Lender accepted before 22h — final warning should not fire</t>
  </si>
  <si>
    <t xml:space="preserve">2b-*</t>
  </si>
  <si>
    <t xml:space="preserve">Lender did not decline</t>
  </si>
  <si>
    <t xml:space="preserve">3.1*</t>
  </si>
  <si>
    <t xml:space="preserve">Lender shipped before reminders trigger</t>
  </si>
  <si>
    <t xml:space="preserve">3.2 / 3.2b</t>
  </si>
  <si>
    <t xml:space="preserve">Booking shipped → no auto-cancel path</t>
  </si>
  <si>
    <t xml:space="preserve">9.x</t>
  </si>
  <si>
    <t xml:space="preserve">Borrower returned on time → no overdue path</t>
  </si>
  <si>
    <t xml:space="preserve">  SCENARIO 2 — IGNORED REQUEST  (lender never accepts)  [P0]</t>
  </si>
  <si>
    <t xml:space="preserve">Confirm 60m + 22h escalation SMS fire, then 24h auto-expire (process.edn v5) cleanly without spurious downstream comms.</t>
  </si>
  <si>
    <t xml:space="preserve">1. Create IGNORED BORROWER + IGNORED LENDER. 2. Lender lists test item. 3. Borrower submits request. 4. Do NOT accept or decline. Wait 24+ hours. Tip: launch the request shortly before 8 AM PT so the 22h warning at the 22h mark also stays inside its window.</t>
  </si>
  <si>
    <t xml:space="preserve">10.0 PR-4 (April 23 2026): process.edn v5 PT24H expire + 2-phase escalation in sendLenderRequestReminders.js + MISSED_FINAL watchdog.</t>
  </si>
  <si>
    <t xml:space="preserve">Twilio console (lender phone number, scenario tag), Render logs grep "[lender-request-reminder]", check no Sharetribe accept transition in Console.</t>
  </si>
  <si>
    <t xml:space="preserve">22h SMS bypasses quiet-hours by design — text may arrive at 2 AM if request was submitted at 4 AM. Expected.</t>
  </si>
  <si>
    <t xml:space="preserve">Sharetribe template booking-new-request</t>
  </si>
  <si>
    <t xml:space="preserve">1a - 60m gentle nudge</t>
  </si>
  <si>
    <t xml:space="preserve">60m elapsed, no response</t>
  </si>
  <si>
    <t xml:space="preserve">T+60min ([60m, 22h))</t>
  </si>
  <si>
    <t xml:space="preserve">Sherbrt 🍧: Don't leave [Borrower First Name] hanging! ... Just tap before it expires: [request_link].</t>
  </si>
  <si>
    <t xml:space="preserve">1b - 22h final warning</t>
  </si>
  <si>
    <t xml:space="preserve">22h elapsed, no response</t>
  </si>
  <si>
    <t xml:space="preserve">T+22h ([22h, 24h))</t>
  </si>
  <si>
    <t xml:space="preserve">Sherbrt 🍧: ⚠️ Final call — [Borrower First Name]'s request expires in 2 hours. ...</t>
  </si>
  <si>
    <t xml:space="preserve">BYPASSES quiet-hours.</t>
  </si>
  <si>
    <t xml:space="preserve">Sharetribe</t>
  </si>
  <si>
    <t xml:space="preserve">24h auto-expire email to borrower</t>
  </si>
  <si>
    <t xml:space="preserve">transition/expire fires at 24h</t>
  </si>
  <si>
    <t xml:space="preserve">24h after request</t>
  </si>
  <si>
    <t xml:space="preserve">Sharetribe template booking-expired-request — "Your booking request expired. Your card has not been charged."</t>
  </si>
  <si>
    <t xml:space="preserve">2a / 2a-Email / 2c</t>
  </si>
  <si>
    <t xml:space="preserve">No accept ⇒ no acceptance comms</t>
  </si>
  <si>
    <t xml:space="preserve">2b / 2b-Email</t>
  </si>
  <si>
    <t xml:space="preserve">No explicit decline ⇒ no decline comms</t>
  </si>
  <si>
    <t xml:space="preserve">3 / 3.1 / 3.1b / 3.2 / 3.2b</t>
  </si>
  <si>
    <t xml:space="preserve">No accept ⇒ no shipping or auto-cancel path</t>
  </si>
  <si>
    <t xml:space="preserve">4 / 6 / 7 / 8 / 9.x / 10 / 11</t>
  </si>
  <si>
    <t xml:space="preserve">No accept ⇒ no downstream lifecycle</t>
  </si>
  <si>
    <t xml:space="preserve">Duplicate 1a or 1b on same phase</t>
  </si>
  <si>
    <t xml:space="preserve">Per-phase Redis dedupe should prevent double-sends</t>
  </si>
  <si>
    <t xml:space="preserve">  SCENARIO 3 — DECLINED REQUEST  (lender explicitly declines)  [P1]</t>
  </si>
  <si>
    <t xml:space="preserve">Confirm lender decline fires 2b-SMS + 2b-Email to borrower, auto-releases the payment hold, no downstream comms fire. Promotes 2b-SMS / 2b-Email to Verified on pass.</t>
  </si>
  <si>
    <t xml:space="preserve">1. Create DECLINED BORROWER + DECLINED LENDER. 2. Lender lists test item. 3. Borrower submits request (lender receives 1-SMS + 1-Email). 4. Lender hits Decline in the Sherbrt UI within 60 minutes (so 1a/1b should not fire).</t>
  </si>
  <si>
    <t xml:space="preserve">2b-SMS + 2b-Email — code location hypothesis: server/api/transition-privileged.js (decline branch). Not currently Verified.</t>
  </si>
  <si>
    <t xml:space="preserve">Twilio (borrower number for 2b-SMS), SendGrid (borrower email for 2b-Email), Stripe Dashboard (verify payment intent voided/uncaptured).</t>
  </si>
  <si>
    <t xml:space="preserve">On pass, manually flip 2b-SMS + 2b-Email Verified column on Log tab to "Verified".</t>
  </si>
  <si>
    <t xml:space="preserve">...</t>
  </si>
  <si>
    <t xml:space="preserve">Sharetribe template</t>
  </si>
  <si>
    <t xml:space="preserve">2b-SMS</t>
  </si>
  <si>
    <t xml:space="preserve">2b - Request rejected</t>
  </si>
  <si>
    <t xml:space="preserve">Lender declines</t>
  </si>
  <si>
    <t xml:space="preserve">Immediate on decline transition</t>
  </si>
  <si>
    <t xml:space="preserve">Sherbrt 🍧: Thanks for requesting "[Item]". This one wasn't available—browse more looks: [browse_link].</t>
  </si>
  <si>
    <t xml:space="preserve">2b-Email</t>
  </si>
  <si>
    <t xml:space="preserve">Sharetribe template booking-declined-request (or built-in fallback)</t>
  </si>
  <si>
    <t xml:space="preserve">1a / 1b</t>
  </si>
  <si>
    <t xml:space="preserve">Lender declined within 60m — neither escalation should fire</t>
  </si>
  <si>
    <t xml:space="preserve">No ship-by or auto-cancel path</t>
  </si>
  <si>
    <t xml:space="preserve">No downstream lifecycle</t>
  </si>
  <si>
    <t xml:space="preserve">  SCENARIO 4 — UNSHIPPED  (accepted but never shipped → auto-cancel)  [P0]</t>
  </si>
  <si>
    <t xml:space="preserve">End-to-end validation of auto-cancel: ship-by reminders fire, scan-lag grace observed, cancel transition fires after grace, full refund posts, Shippo labels void, both parties notified.</t>
  </si>
  <si>
    <t xml:space="preserve">1. Create UNSHIPPED BORROWER + UNSHIPPED LENDER. 2. Lender lists test item with a near-future bookingStart (e.g. tomorrow). 3. Borrower submits request. 4. Lender accepts. Shippo creates outbound label → 3-SMS. 5. DO NOT ship the item. 6. Wait through ship-by date. 7. Auto-cancel will fire ~noon D+1 lender-local (or D+2 for Monday-start) after 12h scan-lag grace.</t>
  </si>
  <si>
    <t xml:space="preserve">Step 3.2 auto-cancel-unshipped (Apr 14 2026, commit f17d91b18); B2 + B3 fixes (Apr 21, PR #53); 10.0 PR-5 scan-lag grace (Apr 23, PR #55); 3.2 / 3.2b copy update (Apr 28, in progress).</t>
  </si>
  <si>
    <t xml:space="preserve">Render logs filtered to [auto-cancel-unshipped] — look for SKIP reason=scan-lag-grace at first cron tick(s) past deadline, then transition fired at +12h. Stripe Dashboard for refund. Shippo Dashboard for voided labels. Sharetribe Console for protectedData.autoCancel.sent.</t>
  </si>
  <si>
    <t xml:space="preserve">AUTO_CANCEL_DRY_RUN=0 is live in Render — this fires a real cancel + real refund. Use a low-priced test listing. Cron runs hourly on the hour.</t>
  </si>
  <si>
    <t xml:space="preserve">Immediate on accept</t>
  </si>
  <si>
    <t xml:space="preserve">📦 Your return label is ready! ...</t>
  </si>
  <si>
    <t xml:space="preserve">Outbound label created</t>
  </si>
  <si>
    <t xml:space="preserve">Immediate after accept</t>
  </si>
  <si>
    <t xml:space="preserve">3.1-SMS</t>
  </si>
  <si>
    <t xml:space="preserve">3.1 - Outbound ship reminder</t>
  </si>
  <si>
    <t xml:space="preserve">T-24h to ship-by, no scan</t>
  </si>
  <si>
    <t xml:space="preserve">T-24h</t>
  </si>
  <si>
    <t xml:space="preserve">⏰ Sherbrt 🍧 reminder: Please ship "[Item]" by tomorrow ...</t>
  </si>
  <si>
    <t xml:space="preserve">3.1b-SMS</t>
  </si>
  <si>
    <t xml:space="preserve">3.1b - End-of-day unshipped</t>
  </si>
  <si>
    <t xml:space="preserve">Ship-by day, EOD, no scan</t>
  </si>
  <si>
    <t xml:space="preserve">Evening of [Ship-by Date]</t>
  </si>
  <si>
    <t xml:space="preserve">Sherbrt 🍧: Heads up — "[Item]" still isn't scanned ...</t>
  </si>
  <si>
    <t xml:space="preserve">3.2-SMS</t>
  </si>
  <si>
    <t xml:space="preserve">3.2 - Auto-cancel &amp; refund</t>
  </si>
  <si>
    <t xml:space="preserve">bookingStart deadline + 12h scan-lag, no scan</t>
  </si>
  <si>
    <t xml:space="preserve">~noon D+1 lender-local</t>
  </si>
  <si>
    <t xml:space="preserve">🚫 Sherbrt 🍧: Your borrow request for "[Item]" was auto-canceled because the lender didn't ship in time. Full refund will hit your card in 5–10 business days. Browse other looks: [browse_link]</t>
  </si>
  <si>
    <t xml:space="preserve">3.2b-SMS</t>
  </si>
  <si>
    <t xml:space="preserve">3.2 - Auto-expire notice</t>
  </si>
  <si>
    <t xml:space="preserve">Same auto-cancel event as 3.2</t>
  </si>
  <si>
    <t xml:space="preserve">⚠️ Sherbrt 🍧: Your listing "[Item]" was auto-canceled because it wasn't shipped in time. You missed out on $[Lender Earnings]. Update your listing availability for future requests: https://sherbrt.com/listings</t>
  </si>
  <si>
    <t xml:space="preserve">  Observable: scan-lag-grace SKIP log (not an SMS)</t>
  </si>
  <si>
    <t xml:space="preserve">Cron tick within 12h of cancel deadline</t>
  </si>
  <si>
    <t xml:space="preserve">Render log: [auto-cancel-unshipped][txId] SKIP reason=scan-lag-grace hoursPastDeadline=X.X</t>
  </si>
  <si>
    <t xml:space="preserve">Confirms the grace guard fired at least once before the cancel.</t>
  </si>
  <si>
    <t xml:space="preserve">Lender accepted, did not decline</t>
  </si>
  <si>
    <t xml:space="preserve">4 / 6</t>
  </si>
  <si>
    <t xml:space="preserve">No outbound scan ⇒ no shipped/delivered comms</t>
  </si>
  <si>
    <t xml:space="preserve">48h transition/cancel (legacy)</t>
  </si>
  <si>
    <t xml:space="preserve">B3 deletion — the legacy 48h cancel block in sendShippingReminders is gone</t>
  </si>
  <si>
    <t xml:space="preserve">Duplicate 3.2 / 3.2b</t>
  </si>
  <si>
    <t xml:space="preserve">Idempotent via protectedData.autoCancel.sent — only one SMS pair per tx</t>
  </si>
  <si>
    <t xml:space="preserve">  SCENARIO 5 — LATE RETURN  (borrower keeps past due → overdue + late-fee charges)  [P0]</t>
  </si>
  <si>
    <t xml:space="preserve">End-to-end validation of PR-4 staging dry-run: every day-N overdue SMS fires once, $0.50 test charges land on days 2–6, day-6 ops email + daily digest emails arrive, day 7+ hard stops.</t>
  </si>
  <si>
    <t xml:space="preserve">1. Create LATE BORROWER + LATE LENDER. 2. Lender lists item. 3. ENV PREREQUISITE in Render: set LATE_FEE_CENTS_OVERRIDE=50 AND OVERDUE_FEES_CHARGING_ENABLED=true on the Overdue cron. 4. Borrower submits request, lender accepts, lender ships, borrower receives. 5. Borrower DOES NOT ship return by [Return Date]. 6. Wait 7 days past return date. 7. After test, REVERT both env vars (set back to false / remove override).</t>
  </si>
  <si>
    <t xml:space="preserve">PR-4 staging dry-run (see PR-4 Instructions tab → renamed Late-Fee Charging Dry-Run). Validates 9.0 PR-1 to PR-5 in one shot.</t>
  </si>
  <si>
    <t xml:space="preserve">Twilio (borrower phone, days 1–6 SMS), Stripe Dashboard (5 × $0.50 captures on days 2–6), SendGrid (day-6 ops alert, daily digest each day), Sharetribe Console (return.chargeHistory and return.lastLateFeeDayCharged on tx protectedData), Render logs grep "overdue.charge".</t>
  </si>
  <si>
    <t xml:space="preserve">9.7-Email fires at end of every cron run with non-empty buckets — expect one per day during days 1–6. Quiet-hours gate (8 AM – 11 PM PT) applies to SMS; cron runs at 17:00 UTC = 10 AM PT, inside the window.</t>
  </si>
  <si>
    <t xml:space="preserve">1 through 8</t>
  </si>
  <si>
    <t xml:space="preserve">Full happy-path comms</t>
  </si>
  <si>
    <t xml:space="preserve">Mixed</t>
  </si>
  <si>
    <t xml:space="preserve">Both</t>
  </si>
  <si>
    <t xml:space="preserve">Standard lifecycle through delivery</t>
  </si>
  <si>
    <t xml:space="preserve">Per Scenario 1</t>
  </si>
  <si>
    <t xml:space="preserve">See Scenario 1 for full list</t>
  </si>
  <si>
    <t xml:space="preserve">9.1-SMS</t>
  </si>
  <si>
    <t xml:space="preserve">9 - Overdue Day 1 (no charge)</t>
  </si>
  <si>
    <t xml:space="preserve">Day 1 cron run, no return scan</t>
  </si>
  <si>
    <t xml:space="preserve">~10 AM PT (17:00 UTC)</t>
  </si>
  <si>
    <t xml:space="preserve">⚠️ Your Sherbrt return for "[Item]" ended yesterday. $15/day late fee may apply ...</t>
  </si>
  <si>
    <t xml:space="preserve">No charge — scan-lag-grace.</t>
  </si>
  <si>
    <t xml:space="preserve">9.2-SMS</t>
  </si>
  <si>
    <t xml:space="preserve">9 - Overdue Day 2 ($15 charge #1)</t>
  </si>
  <si>
    <t xml:space="preserve">Day 2 cron, charge $0.50 for day 1</t>
  </si>
  <si>
    <t xml:space="preserve">~10 AM PT</t>
  </si>
  <si>
    <t xml:space="preserve">⚠️ ... is now 2 days late.</t>
  </si>
  <si>
    <t xml:space="preserve">Charge #1 of 5.</t>
  </si>
  <si>
    <t xml:space="preserve">9.3-SMS</t>
  </si>
  <si>
    <t xml:space="preserve">9 - Overdue Day 3 ($15 charge #2)</t>
  </si>
  <si>
    <t xml:space="preserve">Day 3 cron, charge $0.50 for day 2</t>
  </si>
  <si>
    <t xml:space="preserve">⚠️ ... is now 3 days late.</t>
  </si>
  <si>
    <t xml:space="preserve">Charge #2 of 5.</t>
  </si>
  <si>
    <t xml:space="preserve">9.4-SMS</t>
  </si>
  <si>
    <t xml:space="preserve">9 - Overdue Day 4 ($15 charge #3)</t>
  </si>
  <si>
    <t xml:space="preserve">Day 4 cron, charge $0.50 for day 3</t>
  </si>
  <si>
    <t xml:space="preserve">⚠️ ... 4 days late. Replacement-value risk language.</t>
  </si>
  <si>
    <t xml:space="preserve">Charge #3 of 5.</t>
  </si>
  <si>
    <t xml:space="preserve">9.5-SMS</t>
  </si>
  <si>
    <t xml:space="preserve">9 - Overdue Day 5 ($15 charge #4)</t>
  </si>
  <si>
    <t xml:space="preserve">Day 5 cron, charge $0.50 for day 4</t>
  </si>
  <si>
    <t xml:space="preserve">⚠️ ... 5 days late.</t>
  </si>
  <si>
    <t xml:space="preserve">Charge #4 of 5.</t>
  </si>
  <si>
    <t xml:space="preserve">9.6-SMS</t>
  </si>
  <si>
    <t xml:space="preserve">9 - Overdue Day 6 ($15 charge #5, FINAL)</t>
  </si>
  <si>
    <t xml:space="preserve">Day 6 cron, charge $0.50 for day 5</t>
  </si>
  <si>
    <t xml:space="preserve">🚨 ... 6 days late. Replacement value may be charged.</t>
  </si>
  <si>
    <t xml:space="preserve">Charge #5 of 5 = cap reached.</t>
  </si>
  <si>
    <t xml:space="preserve">9.6-Email</t>
  </si>
  <si>
    <t xml:space="preserve">9 - Day 6 operator alert</t>
  </si>
  <si>
    <t xml:space="preserve">Operator (amalyb@gmail.com)</t>
  </si>
  <si>
    <t xml:space="preserve">Day-6 SMS sent successfully</t>
  </si>
  <si>
    <t xml:space="preserve">Immediately after Day 6 SMS</t>
  </si>
  <si>
    <t xml:space="preserve">Subject: [Sherbrt] Day-6 overdue — manual replacement decision needed (tx ...)</t>
  </si>
  <si>
    <t xml:space="preserve">9.7-Email</t>
  </si>
  <si>
    <t xml:space="preserve">9 - Daily late-fee digest</t>
  </si>
  <si>
    <t xml:space="preserve">Operator</t>
  </si>
  <si>
    <t xml:space="preserve">End of cron run with charges</t>
  </si>
  <si>
    <t xml:space="preserve">After cron completes</t>
  </si>
  <si>
    <t xml:space="preserve">Subject: [Sherbrt] Late-fee digest [date] — $[total] ([N] charged)</t>
  </si>
  <si>
    <t xml:space="preserve">Expect 1 per day, days 1–6.</t>
  </si>
  <si>
    <t xml:space="preserve">10-SMS / 11-SMS</t>
  </si>
  <si>
    <t xml:space="preserve">Return shipped + delivered</t>
  </si>
  <si>
    <t xml:space="preserve">If borrower eventually ships return</t>
  </si>
  <si>
    <t xml:space="preserve">Whenever return scan posts</t>
  </si>
  <si>
    <t xml:space="preserve">Standard return-flow SMS</t>
  </si>
  <si>
    <t xml:space="preserve">Optional — only if borrower ships before testing ends.</t>
  </si>
  <si>
    <t xml:space="preserve">Duplicate 9.N on same day</t>
  </si>
  <si>
    <t xml:space="preserve">Per-tx Redis dedupe overdueNotified:{txId}:{day}</t>
  </si>
  <si>
    <t xml:space="preserve">9.x after return scan</t>
  </si>
  <si>
    <t xml:space="preserve">Once carrier scan posts, overdue cron skips the tx</t>
  </si>
  <si>
    <t xml:space="preserve">Day 7+ SMS or charge</t>
  </si>
  <si>
    <t xml:space="preserve">Hard stop — count-based cap (5 × $15) reached</t>
  </si>
  <si>
    <t xml:space="preserve">Booking reached delivered → auto-cancel-unshipped path must not trigger</t>
  </si>
  <si>
    <t xml:space="preserve">  SCENARIO 6 — SUNDAY EDGE CASES  (ship-by, return date, reminder day)  [P2]</t>
  </si>
  <si>
    <t xml:space="preserve">Cover the three Sunday-related fixes shipped April 14 2026. Each sub-case exercises a different code path; run independently.</t>
  </si>
  <si>
    <t xml:space="preserve">Create SUNDAY BORROWER + SUNDAY LENDER. Run 3 sub-cases as separate bookings: A=ship-by Sunday → expect Saturday adjust; B=Sunday end-date banner on checkout (visual only); C=Saturday reminder fire for a Monday shipBy.</t>
  </si>
  <si>
    <t xml:space="preserve">Apr 14 2026 sunday handling commits + 10.0 PR-2 business-day-subtract helper (skips Sundays, includes Saturdays).</t>
  </si>
  <si>
    <t xml:space="preserve">Render logs grep "ship-by:adjust" or "ship-by:computed" or "ship-by:persisted"; checkout banner visual; Twilio for 3.1-SMS Saturday delivery.</t>
  </si>
  <si>
    <t xml:space="preserve">No payment side-effects, low risk. Eligible to run anytime.</t>
  </si>
  <si>
    <t xml:space="preserve">Banner</t>
  </si>
  <si>
    <t xml:space="preserve">Sub-case B: Sunday end-date notice</t>
  </si>
  <si>
    <t xml:space="preserve">UI</t>
  </si>
  <si>
    <t xml:space="preserve">Borrower (visual)</t>
  </si>
  <si>
    <t xml:space="preserve">Sunday return at checkout</t>
  </si>
  <si>
    <t xml:space="preserve">On checkout page</t>
  </si>
  <si>
    <t xml:space="preserve">'Sunday end date: Carriers don't run — ship Monday to avoid a late fee.'</t>
  </si>
  <si>
    <t xml:space="preserve">Sub-case C: 24h reminder Saturday-fire</t>
  </si>
  <si>
    <t xml:space="preserve">Saturday for Monday shipBy</t>
  </si>
  <si>
    <t xml:space="preserve">T-24h, but anchored to Saturday since Sunday is non-business</t>
  </si>
  <si>
    <t xml:space="preserve">'Please ship by [Monday date]'. NO 'tomorrow' wording.</t>
  </si>
  <si>
    <t xml:space="preserve">shipByDate adjust</t>
  </si>
  <si>
    <t xml:space="preserve">Sub-case A: data-only</t>
  </si>
  <si>
    <t xml:space="preserve">Data</t>
  </si>
  <si>
    <t xml:space="preserve">(internal)</t>
  </si>
  <si>
    <t xml:space="preserve">Sunday original shipBy</t>
  </si>
  <si>
    <t xml:space="preserve">At label creation</t>
  </si>
  <si>
    <t xml:space="preserve">protectedData.outbound.shipByDate lands on Saturday. Reason logged as sunday_to_saturday.</t>
  </si>
  <si>
    <t xml:space="preserve">3.1-SMS on Sunday</t>
  </si>
  <si>
    <t xml:space="preserve">Sub-case C: reminder must never fire on Sunday</t>
  </si>
  <si>
    <t xml:space="preserve">Banner on listing page</t>
  </si>
  <si>
    <t xml:space="preserve">Sub-case B: banner is checkout-only (showSundayEndDateNotice=false on listing page)</t>
  </si>
  <si>
    <t xml:space="preserve">Late fee on Monday ship</t>
  </si>
  <si>
    <t xml:space="preserve">Sub-case B: Monday ship after Sunday end date should be on-time (no 9.1, no charge)</t>
  </si>
  <si>
    <t xml:space="preserve">Sherbrt — Transaction Communications Log</t>
  </si>
  <si>
    <t xml:space="preserve">SMS &amp; email touchpoints across the booking lifecycle. Dropdowns for Channel / Recipient / Verified. Filters live on the header row. See Legend tab for placeholder keys.</t>
  </si>
  <si>
    <t xml:space="preserve">Message Example</t>
  </si>
  <si>
    <t xml:space="preserve">Key Links</t>
  </si>
  <si>
    <t xml:space="preserve">Policy / Notes</t>
  </si>
  <si>
    <t xml:space="preserve">Coded</t>
  </si>
  <si>
    <t xml:space="preserve">Code Location</t>
  </si>
  <si>
    <t xml:space="preserve">Immediately when borrower submits request</t>
  </si>
  <si>
    <t xml:space="preserve">Sherbrt 🍧: [Borrower First Name] wants to borrow your "[Item]", You'll earn [$Lender Earnings] 💸🤑. You have 24hrs to accept: [request_link].</t>
  </si>
  <si>
    <t xml:space="preserve">Sherbrt 🍧: Amalia wants to borrow your "Faille Halter Mini Dress". You'll earn $21.24 💸🤑. Tap to review &amp; accept: https://sherbrt.com/sale/697a9426-9f99-4b5b-8894-f2b86b36c1c6</t>
  </si>
  <si>
    <t xml:space="preserve">Request / sale link</t>
  </si>
  <si>
    <t xml:space="preserve">Start of transaction. Lender accept window = 24 hours via process.edn v5 (10.0 PR-4, April 23 2026) — was 6 days. After 24h, transition/expire fires automatically and the borrower is fully refunded.</t>
  </si>
  <si>
    <t xml:space="preserve">Yes</t>
  </si>
  <si>
    <t xml:space="preserve">server/api/initiate-privileged.js (tag: booking_request_to_lender_alt)</t>
  </si>
  <si>
    <t xml:space="preserve">Subject: [Borrower First Name] requested to book [Item] 
You have a new booking request for Faille Halter Mini Dress
Amalia B requested to book Faille Halter Mini Dress in Sherbrt.
Start
End
Sun
Tue
Feb 1
Feb 3
USD 8.33 × 3 days
24.99 USD
Sherbrt fee
-3.75 USD
You'll earn
21.24 USD
You need to accept the request by Feb 2, 2026, 12:00 AM. Otherwise the request will expire automatically and you won't get paid.
If the booked dates don't work for you, you can also choose to decline the request.
Accept or Decline the booking
Can't click the button? Here's a link for your convenience: https://www.sherbrt.com/sale/697a9426-9f99-4b5b-8894-f2b86b36c1c6/</t>
  </si>
  <si>
    <t xml:space="preserve">Amalia B requested to book Faille Halter Mini Dress
</t>
  </si>
  <si>
    <t xml:space="preserve">Request / sale link; Help/FAQ link (optional)</t>
  </si>
  <si>
    <t xml:space="preserve">Optional but recommended for lenders who don’t always see SMS.</t>
  </si>
  <si>
    <t xml:space="preserve">Sharetribe built-in email template</t>
  </si>
  <si>
    <t xml:space="preserve">Request reminder</t>
  </si>
  <si>
    <t xml:space="preserve">60min after initial request (phase 1 of 2)</t>
  </si>
  <si>
    <t xml:space="preserve">Sherbrt 🍧: Don't leave [Borrower First Name] hanging! [$Lender Earnings] is waiting for you! 🤑🤑🤑 Just tap before it expires: [request_link].</t>
  </si>
  <si>
    <t xml:space="preserve">Sherbrt 🍧: Don't leave Amalia hanging! $51 is waiting for you! 🤑🤑🤑 Just tap to accept: https://sherbrt.com/sale/697a9426-9f99-4b5b-8894-f2b86b36c1c6</t>
  </si>
  <si>
    <t xml:space="preserve">Phase 1 of 2-phase escalation (10.0 PR-4). Respects 8 AM–11 PM PT quiet-hours (window is 21h wide so quiet-hours skip is absorbed). Per-phase Redis dedupe key lenderReminder:{txId}:60m:sent (TTL 7 days).</t>
  </si>
  <si>
    <t xml:space="preserve">server/scripts/sendLenderRequestReminders.js (tag: lender_request_reminder_60m)</t>
  </si>
  <si>
    <t xml:space="preserve">22h after request, 2h before auto-expire</t>
  </si>
  <si>
    <t xml:space="preserve">[22h, 24h) — phase 2 of 2-phase escalation</t>
  </si>
  <si>
    <t xml:space="preserve">Sherbrt 🍧: ⚠️ Final call — your [$Lender Earnings] payout is about to expire. Accept [Borrower First Name]'s borrow request now: [request_link]</t>
  </si>
  <si>
    <t xml:space="preserve">Sherbrt 🍧: ⚠️ Final call — your $21.24 payout is about to expire. Accept Amalia's borrow request now: https://www.sherbrt.com/r/6MUUMC1920
</t>
  </si>
  <si>
    <t xml:space="preserve">BYPASSES 8 AM–11 PM PT quiet-hours by design — phase window is only 2h wide; quiet-hours skip would silently drop the warning. Per-phase Redis dedupe key lenderReminder:{txId}:22h:sent (TTL 7 days). MISSED_FINAL watchdog logs [MISSED_FINAL] tx=X if this fails to fire before auto-expire (steady-state count should be 0).</t>
  </si>
  <si>
    <t xml:space="preserve">server/scripts/sendLenderRequestReminders.js (tag: lender_request_reminder_22h)</t>
  </si>
  <si>
    <t xml:space="preserve">1c-SMS</t>
  </si>
  <si>
    <t xml:space="preserve">1c - Borrower request expired</t>
  </si>
  <si>
    <t xml:space="preserve">transition/expire fires (24h auto-expire — lender never accepted)</t>
  </si>
  <si>
    <t xml:space="preserve">Within 30 min of transition/expire (cron tick polls 15 min)</t>
  </si>
  <si>
    <t xml:space="preserve">😔 Sherbrt 🍧: Your borrow request was not accepted this time. Don't worry — there's still time to book another look you love!  Check them out now! [browse_link]</t>
  </si>
  <si>
    <t xml:space="preserve">😔 Sherbrt 🍧: Your borrow request was not accepted this time. Don't worry — there's still time to book another look you love!  Check them out now! https://www.sherbrt.com/r/lyBUNc13c1</t>
  </si>
  <si>
    <t xml:space="preserve">Browse/search link</t>
  </si>
  <si>
    <t xml:space="preserve">Closes the loop for borrowers when the lender lets the 24h accept window run out (process.edn :transition/expire). Distinct from 2b-SMS (which fires on the lender clicking Decline). Piggybacks on the existing MISSED_FINAL watchdog query in sendLenderRequestReminders.js (lookback 30 min). Per-tx Redis dedupe key lenderReminder:{txId}:borrowerExpired:sent (TTL 7 days). DRY mode skips Redis writes. Tag: borrower_request_expired.</t>
  </si>
  <si>
    <t xml:space="preserve">server/scripts/sendLenderRequestReminders.js (tag: borrower_request_expired)</t>
  </si>
  <si>
    <t xml:space="preserve">Lender accepts request</t>
  </si>
  <si>
    <t xml:space="preserve">Immediately on accept transition</t>
  </si>
  <si>
    <t xml:space="preserve">🎉 Sherbrt 🍧: Your request for “[Item]” was accepted! We’ll share tracking once it ships. View details: [transaction_link].</t>
  </si>
  <si>
    <t xml:space="preserve">🎉 Your Sherbrt request was accepted! 🍧 "Faille Halter Mini Dress" from Monica D is confirmed.  You'll receive tracking info once it ships! ✈️👗 https://www.sherbrt.com/r/eKrfVC9aa1</t>
  </si>
  <si>
    <t xml:space="preserve">Transaction / order link</t>
  </si>
  <si>
    <t xml:space="preserve">Depending on flow, card may now be charged or authorized.</t>
  </si>
  <si>
    <t xml:space="preserve">server/api/transition-privileged.js (tag: accept_to_borrower + accept_to_lender)</t>
  </si>
  <si>
    <t xml:space="preserve">Subject: Your booking request was accepted
Hi [Borrower First Name],
Good news! Your request for “[Item]” was accepted by [Lender First Name].
You’ll receive tracking details once the item ships. View your booking here: [transaction_link].
By completing this booking, you agree to Sherbrt’s Terms, including late return and replacement policies: [terms_link].
Sip, slay, repeat ✨
Sherbrt 🍧</t>
  </si>
  <si>
    <t xml:space="preserve">Your booking request was accepted
Monica D has accepted your booking request for Faille Halter Mini Dress from Feb 1, 2026 to Feb 3, 2026.
Your card has been charged for USD 40.91. Here's the booking breakdown.
Start
End
Sun
Tue
Feb 1
Feb 3
USD 8.33 × 3 days
24.99 USD
Sherbrt fee
5.00 USD
Total price
40.91 USD
View order details
Can't click the button? Here's a link for your convenience: https://www.sherbrt.com/order/697a9426-9f99-4b5b-8894-f2b86b36c1c6/
</t>
  </si>
  <si>
    <t xml:space="preserve">Transaction / order link; Terms link</t>
  </si>
  <si>
    <t xml:space="preserve">Reinforces terms at key commitment moment.</t>
  </si>
  <si>
    <t xml:space="preserve">Lender declines request</t>
  </si>
  <si>
    <t xml:space="preserve">Immediately on decline transition</t>
  </si>
  <si>
    <t xml:space="preserve">😔 Sherbrt 🍧: Your borrow request was declined. Don't worry — new looks are waiting to be borrowed! Check them out! https://www.sherbrt.com/r/lyBUNc13c1
</t>
  </si>
  <si>
    <t xml:space="preserve">Flow ends for this transaction.</t>
  </si>
  <si>
    <t xml:space="preserve">server/api/transition-privileged.js (tag: reject_to_borrower)</t>
  </si>
  <si>
    <t xml:space="preserve">Subject: Update on your Sherbrt request
Hi [Borrower First Name],
Your request for “[Item]” wasn’t accepted this time.
You’ve not been charged for this booking. Explore more outfits on Sherbrt here: [browse_link].
Sherbrt 🍧</t>
  </si>
  <si>
    <t xml:space="preserve">Browse/search link; Support link (optional)</t>
  </si>
  <si>
    <t xml:space="preserve">Confirms no charge; nudges to keep browsing.</t>
  </si>
  <si>
    <t xml:space="preserve">No</t>
  </si>
  <si>
    <t xml:space="preserve">Not built — relies on Sharetribe default decline email</t>
  </si>
  <si>
    <t xml:space="preserve">2c- Return Label Provided </t>
  </si>
  <si>
    <t xml:space="preserve">📦 Your return label is ready! Use this to ship back: https://www.sherbrt.com/r/M9PMIJ208f</t>
  </si>
  <si>
    <t xml:space="preserve">Shipping label shippo link</t>
  </si>
  <si>
    <t xml:space="preserve">server/api/transition-privileged.js (tag: return_label_ready_to_borrower)</t>
  </si>
  <si>
    <t xml:space="preserve">When label creation succeeds</t>
  </si>
  <si>
    <t xml:space="preserve">Sherbrt 🍧: Ship “[Item]” by [Ship-by Date]. Shipping label: [qr_or_label_link].</t>
  </si>
  <si>
    <t xml:space="preserve">Sherbrt : Ship "Faille Halter Mini Dress" by Apr 14. Shipping label: https://www.sherbrt.com/r/9W4qo8c4db</t>
  </si>
  <si>
    <t xml:space="preserve">QR/label link; Tracking link (optional)</t>
  </si>
  <si>
    <t xml:space="preserve">Ship-by anchored to the selected outbound Shippo rate estimated_days + SAFETY_BUFFER_DAYS (default 1), business-day-subtracted from bookingStart (skips Sundays + USPS holidays, includes Saturdays). Persisted at protectedData.outbound.shipByDate at label purchase (10.0 PR-2). All downstream consumers read this persisted value first.</t>
  </si>
  <si>
    <t xml:space="preserve">server/api/transition-privileged.js (tag: label_ready_to_lender + label_created_to_borrower)</t>
  </si>
  <si>
    <t xml:space="preserve">24 hours before ship-by date AND no carrier "accepted" scan yet</t>
  </si>
  <si>
    <t xml:space="preserve">T-24h to [Ship-by Date]</t>
  </si>
  <si>
    <t xml:space="preserve">⏰ Sherbrt 🍧 reminder: Please ship “[Item]” by tomorrow, [Ship-by Date], so your borrower gets it on time. Use your QR/label: [qr_or_label_link].</t>
  </si>
  <si>
    <t xml:space="preserve">QR/label link</t>
  </si>
  <si>
    <t xml:space="preserve">Reads persisted protectedData.outbound.shipByDate (10.0 PR-3) — no longer recomputes per cron with its own SHIP_LEAD_DAYS env var. Anchored to outbound.acceptedAt time-of-day, not UTC midnight. Only sends if still unshipped (no carrier "accepted" scan).</t>
  </si>
  <si>
    <t xml:space="preserve">server/scripts/sendShippingReminders.js (tag: shipping_reminder_24h)</t>
  </si>
  <si>
    <t xml:space="preserve">3.1b - End-of-day unshipped reminder</t>
  </si>
  <si>
    <t xml:space="preserve">Ship-by date AND no carrier "accepted" scan by end of ship-by day</t>
  </si>
  <si>
    <t xml:space="preserve">Evening of [Ship-by Date] (after ~3pm PT / 6pm ET)</t>
  </si>
  <si>
    <t xml:space="preserve">Sherbrt 🍧: Heads up — “[Item]” still isn't scanned for shipment on its ship-by day. Drop it with the carrier first thing tomorrow to avoid cancellation: [qr_or_label_link].</t>
  </si>
  <si>
    <t xml:space="preserve">Final nudge before the auto-cancel window opens. Reads persisted protectedData.outbound.shipByDate (10.0 PR-3). Tag: shipping_reminder_end_of_day. Redis idempotency key: shippingReminder:{txId}:eod:sent.</t>
  </si>
  <si>
    <t xml:space="preserve">server/scripts/sendShippingReminders.js (tag: shipping_reminder_end_of_day)</t>
  </si>
  <si>
    <t xml:space="preserve">3.2 - Auto-cancel &amp; refund (unshipped)</t>
  </si>
  <si>
    <t xml:space="preserve">bookingStart deadline passed (11:59pm lender-local) + 12h scan-lag grace AND still no outbound "accepted" scan</t>
  </si>
  <si>
    <t xml:space="preserve">~noon D+1 lender-local for non-Monday bookings; ~noon D+2 for Monday-start (existing weekend grace shift)</t>
  </si>
  <si>
    <t xml:space="preserve">Auto-cancel anchored to bookingStart (NOT shipByDate). Cancel deadline = 11:59pm lender-local on bookingStart D, +12h scan-lag grace (10.0 PR-5). Effective cancel = 36h post-bookingStart for non-Monday, 60h for Monday-start. Cron tick within grace window logs SKIP reason=scan-lag-grace. transition/auto-cancel-unshipped fires full refund + voids Shippo labels. Idempotent via protectedData.autoCancel.sent. AUTO_CANCEL_DRY_RUN=0 (live mode).</t>
  </si>
  <si>
    <t xml:space="preserve">server/scripts/sendAutoCancelUnshipped.js (tag: auto_cancel_to_borrower)</t>
  </si>
  <si>
    <t xml:space="preserve">Same auto-cancel event as 3.2-SMS</t>
  </si>
  <si>
    <t xml:space="preserve">~noon D+1 lender-local (or D+2 Monday-start), +12h scan-lag grace</t>
  </si>
  <si>
    <t xml:space="preserve">Dashboard / listings link (optional)</t>
  </si>
  <si>
    <t xml:space="preserve">Earnings amount uses calculateLenderPayoutTotal helper (same source as 1-SMS / 1a-SMS / 1b-SMS) so the four lender-side messages can never drift on the figure shown. URL is the static ManageListingsPage (/listings route → user can update availability/edit listings). Replaces v4-era "Sherbrt here" + per-listing relist shortLink copy.</t>
  </si>
  <si>
    <t xml:space="preserve">server/scripts/sendAutoCancelUnshipped.js (tag: auto_cancel_to_lender)</t>
  </si>
  <si>
    <t xml:space="preserve">Carrier scan status = accepted / in transit (outbound)</t>
  </si>
  <si>
    <t xml:space="preserve">Immediately once first "accepted" scan is received</t>
  </si>
  <si>
    <t xml:space="preserve">🚚 Sherbrt 🍧: “[Item]” is on its way! Tracking info: [tracking_link].</t>
  </si>
  <si>
    <t xml:space="preserve">Tracking link</t>
  </si>
  <si>
    <t xml:space="preserve">Direction must be outbound only.</t>
  </si>
  <si>
    <t xml:space="preserve">server/webhooks/shippoTracking.js (tag: item_shipped_to_borrower)</t>
  </si>
  <si>
    <t xml:space="preserve">Carrier status = delivered (outbound)</t>
  </si>
  <si>
    <t xml:space="preserve">🎁 Your Sherbrt borrow has arrived! 🎉 Slay &amp; tag @shoponsherbrt 🍧
Need anything? bestie@sherbrt.com</t>
  </si>
  <si>
    <t xml:space="preserve">Transaction / order link (optional)</t>
  </si>
  <si>
    <t xml:space="preserve">Confirms delivery + branding CTA.</t>
  </si>
  <si>
    <t xml:space="preserve">server/webhooks/shippoTracking.js (tag: item_delivered_to_borrower)</t>
  </si>
  <si>
    <t xml:space="preserve">7 - Borrower Return Reminder  </t>
  </si>
  <si>
    <t xml:space="preserve">1 day before [Return Date] AND no return accepted/in-transit scan yet</t>
  </si>
  <si>
    <t xml:space="preserve">T-1 day to [Return Date]</t>
  </si>
  <si>
    <t xml:space="preserve">📦 Sherbrt 🍧: It's almost return time\! Use your QR/label to ship "[Item]" back tomorrow: [qr_or_label_link].</t>
  </si>
  <si>
    <t xml:space="preserve">📦 Sherbrt 🍧: It's almost return time! Use your QR/label to ship "Faille Halter Mini Dress" back tomorrow: https://www.sherbrt.com/r/M9PMIJ208f.</t>
  </si>
  <si>
    <t xml:space="preserve">Return QR/label link</t>
  </si>
  <si>
    <t xml:space="preserve">In review</t>
  </si>
  <si>
    <t xml:space="preserve">Interpolates ${itemTitle}; canonical lookup pd.returnQrUrl || pd.returnLabelUrl, falling back to a Shippo re-fetch (resolveReturnLabelUrl via returnTransactionId) if both are missing; minted via shortLink() (21-day Redis TTL). Tag: return_tminus1_to_borrower. Fires while tx is in :state/accepted (borrower holds the item; :state/delivered only after the return scan). Fixed May 22 2026: the protectedData whitelist had been stripping returnQrUrl/returnLabelUrl, and the cron previously filtered :state/delivered with an off-by-one due date, so this never fired in prod.</t>
  </si>
  <si>
    <t xml:space="preserve">server/scripts/sendReturnReminders.js (tag: return_tminus1_to_borrower)</t>
  </si>
  <si>
    <t xml:space="preserve">[Return Date] AND no return accepted/in-transit scan</t>
  </si>
  <si>
    <t xml:space="preserve">⏰ Sherbrt 🍧: Today's the day for you to ship back "[Item]"\! Late returns may incur $15/day fees. Use your QR/label to ship back: [qr_or_label_link].</t>
  </si>
  <si>
    <t xml:space="preserve">⏰ Sherbrt 🍧: Today's the day for you to ship back "Faille Halter Mini Dress"\! Late returns may incur $15/day fees. Use your QR/label to ship back: https://www.sherbrt.com/r/M9PMIJ208f.</t>
  </si>
  <si>
    <t xml:space="preserve">Return QR/label link; Terms link</t>
  </si>
  <si>
    <t xml:space="preserve">Fires in PT morning on [Return Date] = booking.end (PT calendar date). Same canonical label lookup + Shippo fallback and same :state/accepted gating as Step 7. Tag: return_reminder_today (with_label) or return_reminder_today_no_label fallback. Fixed May 22 2026 (see Step 7 notes).</t>
  </si>
  <si>
    <t xml:space="preserve">server/scripts/sendReturnReminders.js (tags: return_reminder_today / return_reminder_today_no_label)</t>
  </si>
  <si>
    <t xml:space="preserve">9 - Overdue Day 1 (SMS only, no charge)</t>
  </si>
  <si>
    <t xml:space="preserve">1 chargeable day after [Return Date] AND no return scan. Cron: daily 17:00 UTC (~10 AM PT).</t>
  </si>
  <si>
    <t xml:space="preserve">Day 1 cron run (no charge — scan-lag grace)</t>
  </si>
  <si>
    <t xml:space="preserve">⚠️ Your Sherbrt return for "[Item]" ended yesterday. $15/day late fee may apply until scanned by the carrier. Please ship today using your QR/label: [shortUrl]. For help: bestie@sherbrt.com.</t>
  </si>
  <si>
    <t xml:space="preserve">⚠️ Your Sherbrt return for "Faille Halter Mini Dress" ended yesterday. $15/day late fee may apply until scanned by the carrier. Please ship today using your QR/label: https://sherbrt.com/r/ABC123. For help: bestie@sherbrt.com.</t>
  </si>
  <si>
    <t xml:space="preserve">Return QR/label short link</t>
  </si>
  <si>
    <t xml:space="preserve">Day 1 = SMS only, no charge (scan-lag-grace rule: charge for day N-1 on day N's cron, no day 0 to charge). Quiet-hours gate: 8 AM - 11 PM PT. Uses chargeable late days (excludes Sundays + USPS holidays). May 22 2026 fix: the return due date now resolves from the included booking resource (booking.end) - previously unresolved, so overdue SMS + charges never evaluated. Shares the Step 7/8 Shippo label fallback.</t>
  </si>
  <si>
    <t xml:space="preserve">server/scripts/sendOverdueReminders.js → server/scripts/messages/overdueMessages.js (tag: overdue_day1_to_borrower)</t>
  </si>
  <si>
    <t xml:space="preserve">2 chargeable days after [Return Date] AND no return scan. Cron: daily 17:00 UTC.</t>
  </si>
  <si>
    <t xml:space="preserve">Day 2 cron run (charges $15 for day 1)</t>
  </si>
  <si>
    <t xml:space="preserve">⚠️ Your Sherbrt return for "[Item]" is now 2 days late. $15/day late fee applies until scanned by the carrier. Please ship today using your QR/label: [shortUrl].</t>
  </si>
  <si>
    <t xml:space="preserve">⚠️ Your Sherbrt return for "Faille Halter Mini Dress" is now 2 days late. $15/day late fee applies until scanned by the carrier. Please ship today using your QR/label: https://sherbrt.com/r/ABC123.</t>
  </si>
  <si>
    <t xml:space="preserve">Charge #1 of 5 ($15). Total to date: $15. Quiet-hours gate: 8 AM – 11 PM PT.</t>
  </si>
  <si>
    <t xml:space="preserve">server/scripts/sendOverdueReminders.js → server/scripts/messages/overdueMessages.js (tag: overdue_day2_to_borrower)</t>
  </si>
  <si>
    <t xml:space="preserve">3 chargeable days after [Return Date] AND no return scan. Cron: daily 17:00 UTC.</t>
  </si>
  <si>
    <t xml:space="preserve">Day 3 cron run (charges $15 for day 2)</t>
  </si>
  <si>
    <t xml:space="preserve">⚠️ Your Sherbrt return for "[Item]" is now 3 days late. $15/day late fee applies until scanned by the carrier. Please ship today using your QR/label: [shortUrl].</t>
  </si>
  <si>
    <t xml:space="preserve">⚠️ Your Sherbrt return for "Faille Halter Mini Dress" is now 3 days late. $15/day late fee applies until scanned by the carrier. Please ship today using your QR/label: https://sherbrt.com/r/ABC123.</t>
  </si>
  <si>
    <t xml:space="preserve">Charge #2 of 5 ($30 total). Quiet-hours gate: 8 AM – 11 PM PT.</t>
  </si>
  <si>
    <t xml:space="preserve">server/scripts/sendOverdueReminders.js → server/scripts/messages/overdueMessages.js (tag: overdue_day3_to_borrower)</t>
  </si>
  <si>
    <t xml:space="preserve">4 chargeable days after [Return Date] AND no return scan. Cron: daily 17:00 UTC.</t>
  </si>
  <si>
    <t xml:space="preserve">Day 4 cron run (charges $15 for day 3)</t>
  </si>
  <si>
    <t xml:space="preserve">⚠️ Your Sherbrt return for "[Item]" is now 4 days late. $15/day late fee continues and you may be charged the full replacement value. Ship immediately using your QR/label: [shortUrl]. For help: bestie@sherbrt.com.</t>
  </si>
  <si>
    <t xml:space="preserve">⚠️ Your Sherbrt return for "Faille Halter Mini Dress" is now 4 days late. $15/day late fee continues and you may be charged the full replacement value. Ship immediately using your QR/label: https://sherbrt.com/r/ABC123. For help: bestie@sherbrt.com.</t>
  </si>
  <si>
    <t xml:space="preserve">Charge #3 of 5 ($45 total). Introduces replacement-value risk language. AUTO_REPLACEMENT_ENABLED = false — all replacements are manual/operator-only.</t>
  </si>
  <si>
    <t xml:space="preserve">server/scripts/sendOverdueReminders.js → server/scripts/messages/overdueMessages.js (tag: overdue_day4_to_borrower)</t>
  </si>
  <si>
    <t xml:space="preserve">5 chargeable days after [Return Date] AND no return scan. Cron: daily 17:00 UTC.</t>
  </si>
  <si>
    <t xml:space="preserve">Day 5 cron run (charges $15 for day 4)</t>
  </si>
  <si>
    <t xml:space="preserve">⚠️ Your Sherbrt return for "[Item]" is now 5 days late. $15/day late fee continues. Ship immediately using your QR/label: [shortUrl] to avoid a replacement charge. For help: bestie@sherbrt.com.</t>
  </si>
  <si>
    <t xml:space="preserve">⚠️ Your Sherbrt return for "Faille Halter Mini Dress" is now 5 days late. $15/day late fee continues. Ship immediately using your QR/label: https://sherbrt.com/r/ABC123 to avoid a replacement charge. For help: bestie@sherbrt.com.</t>
  </si>
  <si>
    <t xml:space="preserve">Charge #4 of 5 ($60 total). Final warning before Day 6 investigation.</t>
  </si>
  <si>
    <t xml:space="preserve">server/scripts/sendOverdueReminders.js → server/scripts/messages/overdueMessages.js (tag: overdue_day5_to_borrower)</t>
  </si>
  <si>
    <t xml:space="preserve">9 - Overdue Day 6 ($15 charge #5, FINAL + investigation)</t>
  </si>
  <si>
    <t xml:space="preserve">6 chargeable days after [Return Date] AND no return scan. Cron: daily 17:00 UTC.</t>
  </si>
  <si>
    <t xml:space="preserve">Day 6 cron run (charges $15 for day 5 — final late fee)</t>
  </si>
  <si>
    <t xml:space="preserve">🚨 Your Sherbrt return for "[Item]" is now 6 days late. Your borrow is being investigated and the full replacement value of the item may be charged. Please ship it back ASAP using your QR code or label: [shortUrl]. For help: bestie@sherbrt.com.</t>
  </si>
  <si>
    <t xml:space="preserve">🚨 Your Sherbrt return for "Faille Halter Mini Dress" is now 6 days late. Your borrow is being investigated and the full replacement value of the item may be charged. Please ship it back ASAP using your QR code or label: https://sherbrt.com/r/ABC123. For help: bestie@sherbrt.com.</t>
  </si>
  <si>
    <t xml:space="preserve">Charge #5 of 5 ($75 total, MAX cap reached). Day 7+ = hard stop (no SMS, no charge). Triggers day-6 operator email alert (see 9.6-Email). Replacement is manual/operator-only.</t>
  </si>
  <si>
    <t xml:space="preserve">server/scripts/sendOverdueReminders.js → server/scripts/messages/overdueMessages.js (tag: overdue_day6_to_borrower)</t>
  </si>
  <si>
    <t xml:space="preserve">9 - Overdue Day 6 operator email alert</t>
  </si>
  <si>
    <t xml:space="preserve">Day-6 SMS sent successfully (smsResult not skipped)</t>
  </si>
  <si>
    <t xml:space="preserve">Immediately after Day 6 SMS fires (fire-and-forget)</t>
  </si>
  <si>
    <t xml:space="preserve">Subject: [Sherbrt] Day-6 overdue — manual replacement decision needed (tx [txId])
Day-6 SMS just fired to borrower — replacement charge commitment is now in effect.
Tx: [txId]
Listing: [listingTitle] ([listingId])
Borrower: [customerName] ([borrowerPhone])
Return due: [returnDate]
Days late: 6
Action: decide whether to trigger manual replacement charge.
Console: https://console.sharetribe.com/o/sherbrt/transactions/[txId]</t>
  </si>
  <si>
    <t xml:space="preserve">Subject: [Sherbrt] Day-6 overdue — manual replacement decision needed (tx 693c9fee)
Day-6 SMS just fired to borrower...</t>
  </si>
  <si>
    <t xml:space="preserve">Sharetribe Console tx link</t>
  </si>
  <si>
    <t xml:space="preserve">Fire-and-forget with .catch() — SendGrid failure logged but does not crash cron. DRY_RUN respected. Rides SMS Redis dedupe (no separate email key). Recipient: OPS_ALERT_EMAIL env var (defaults amalyb@gmail.com).</t>
  </si>
  <si>
    <t xml:space="preserve">server/scripts/sendOverdueReminders.js (uses server/email/emailClient.js sendTransactionalEmail)</t>
  </si>
  <si>
    <t xml:space="preserve">End of overdue cron run (chargeDigest.length &gt; 0)</t>
  </si>
  <si>
    <t xml:space="preserve">After all txs processed in daily cron run</t>
  </si>
  <si>
    <t xml:space="preserve">Subject: [Sherbrt] Late-fee digest [date] — $[total] ([N] charged)
Sherbrt late-fee digest for [date]
Charged: $[total] across [N] tx(s)
  tx [txId] — "[listingTitle]" ([borrowerName]) — day [N] — $[amount]
Skipped: [N]
Flag: LIVE / DISABLED</t>
  </si>
  <si>
    <t xml:space="preserve">Subject: [Sherbrt] Late-fee digest 2026-04-16 — $15.00 (1 charged)
Charged: $15.00 across 1 tx(s)...</t>
  </si>
  <si>
    <t xml:space="preserve">None</t>
  </si>
  <si>
    <t xml:space="preserve">In-cron accumulation (Model B: charged + skipped_* buckets only). Gated by \!DRY_RUN. Empty days = no email (silence is fine). Recipient: OPS_ALERT_EMAIL env var (defaults amalyb@gmail.com).</t>
  </si>
  <si>
    <t xml:space="preserve">server/scripts/sendOverdueReminders.js sendLateFeeDigest() helper (uses server/email/emailClient.js)</t>
  </si>
  <si>
    <t xml:space="preserve">Return label status = accepted / in transit</t>
  </si>
  <si>
    <t xml:space="preserve">Immediately once carrier return scan is accepted</t>
  </si>
  <si>
    <t xml:space="preserve">📬 Sherbrt 🍧: "[Item]" is on its way back to you\! Track the return here: [tracking_link].</t>
  </si>
  <si>
    <t xml:space="preserve">📬 Sherbrt 🍧: "Faille Halter Mini Dress" is on its way back to you\! Track the return here: https://www.sherbrt.com/r/9W4qo8c4db.</t>
  </si>
  <si>
    <t xml:space="preserve">Return tracking link</t>
  </si>
  <si>
    <t xml:space="preserve">Interpolates listingTitle from shippoTracking included map. Fires on first return carrier scan (direction=return). Idempotent via protectedData.return.firstScanAt.</t>
  </si>
  <si>
    <t xml:space="preserve">server/webhooks/shippoTracking.js (tag: return_first_scan_to_lender)</t>
  </si>
  <si>
    <t xml:space="preserve">Return label carrier status = delivered</t>
  </si>
  <si>
    <t xml:space="preserve">On first delivered scan (direction=return)</t>
  </si>
  <si>
    <t xml:space="preserve">📦 Sherbrt 🍧: "[Item]" is back home\! Thanks for sharing your style\! 🫶🏽 Just in case: bestie@sherbrt.com 💌</t>
  </si>
  <si>
    <t xml:space="preserve">📦 Sherbrt 🍧: "Faille Halter Mini Dress" is back home\! Thanks for sharing your style\! 🫶🏽 Just in case: bestie@sherbrt.com 💌</t>
  </si>
  <si>
    <t xml:space="preserve">None (confirmation only)</t>
  </si>
  <si>
    <t xml:space="preserve">NEW (April 15, 2026). Idempotent via protectedData.return.deliveredNotificationSentAt. Also writes protectedData.return.deliveredAt. Tag: SMS_TAGS.RETURN_DELIVERED_TO_LENDER. Closes the loop for lenders after return delivery.</t>
  </si>
  <si>
    <t xml:space="preserve">server/webhooks/shippoTracking.js (tag: return_delivered_to_lender)</t>
  </si>
  <si>
    <t xml:space="preserve">Legend &amp; Conventions</t>
  </si>
  <si>
    <t xml:space="preserve">SMS · Email · SMS+Email. Dropdown on the Comms Log. Color chip applied automatically.</t>
  </si>
  <si>
    <t xml:space="preserve">Lender · Borrower · Both. Dropdown. Color chip applied automatically.</t>
  </si>
  <si>
    <t xml:space="preserve">Verified · In review · Broken · Not yet live. Dropdown with color chip. Leave blank if not yet QA'd.</t>
  </si>
  <si>
    <t xml:space="preserve">Placeholders</t>
  </si>
  <si>
    <t xml:space="preserve">[Borrower First Name], [Item], [$Lender Earnings], [request_link], [qr_or_label_link], [tracking_link], [terms_link], [transaction_link], [browse_link], [support_link], [Ship-by Date], [Return Date], [Replacement Value].</t>
  </si>
  <si>
    <t xml:space="preserve">Ship-by logic</t>
  </si>
  <si>
    <t xml:space="preserve">Ship-by is anchored to the selected outbound Shippo rate's estimated_days + SAFETY_BUFFER_DAYS (default 1), business-day-subtracted from bookingStart. Business-day rule skips Sundays + USPS holidays, INCLUDES Saturdays. Persisted at protectedData.outbound.shipByDate at label purchase; all downstream crons read the persisted value first. Static SHIP_LEAD_DAYS env var is fallback-only when Shippo data unavailable.</t>
  </si>
  <si>
    <t xml:space="preserve">Late fees</t>
  </si>
  <si>
    <t xml:space="preserve">$15 / day starting +24h after return date, excluding Sundays &amp; USPS holidays. Replacement charge at Day 5.</t>
  </si>
  <si>
    <t xml:space="preserve">ID convention</t>
  </si>
  <si>
    <t xml:space="preserve">Numbered by lifecycle step. Suffix -SMS or -Email indicates channel. Sub-steps use letters (e.g. 2a, 3.2, 9.3).</t>
  </si>
  <si>
    <t xml:space="preserve">Google Sheets</t>
  </si>
  <si>
    <t xml:space="preserve">Opens directly in Sheets (File → Open → Upload). Dropdowns, filters, conditional formatting, and summary formulas are all preserved on upload.</t>
  </si>
  <si>
    <t xml:space="preserve">Quiet Hours</t>
  </si>
  <si>
    <t xml:space="preserve">All SMS daemons gated by withinSendWindow(): 8 AM – 11 PM PT. Outside this window, messages are deferred to the next poll cycle (Pattern A) or next morning (Pattern B for lender request reminders). See server/util/time.js.</t>
  </si>
  <si>
    <t xml:space="preserve">Late Fee Cap</t>
  </si>
  <si>
    <t xml:space="preserve">Max 5 charges × $15 = $75 total. Count-based (chargeHistory entries with code="late-fee"), not day-based. Day 7+ = hard stop (no SMS, no charge).</t>
  </si>
  <si>
    <t xml:space="preserve">Lender accept window</t>
  </si>
  <si>
    <t xml:space="preserve">24 hours from request submission (process.edn v5, 10.0 PR-4). Two-phase SMS escalation: 60m gentle nudge respects 8 AM–11 PM PT quiet-hours; 22h final warning bypasses quiet-hours by design (phase window is only 2h, can't afford a quiet-hours skip). Auto-expires at 24h with full borrower refund via transition/expire.</t>
  </si>
  <si>
    <t xml:space="preserve">Auto-cancel scan-lag grace</t>
  </si>
  <si>
    <t xml:space="preserve">12-hour buffer past the cancel deadline (11:59pm lender-local on bookingStart D) before sendAutoCancelUnshipped fires (10.0 PR-5). Avoids premature cancels when carriers — especially USPS, 4–12h scan lag — haven't yet propagated the scan. Effective cancel window: 36h post-bookingStart for non-Monday, 60h for Monday-start.</t>
  </si>
  <si>
    <t xml:space="preserve">Sherbrt — Future Comms (Backlog)</t>
  </si>
  <si>
    <t xml:space="preserve">Parked messaging ideas and partially-built touchpoints. Move items to the Log tab when promoted to live. Priority: P0 = this sprint, P1 = next, P2 = nice-to-have.</t>
  </si>
  <si>
    <t xml:space="preserve">Dependencies</t>
  </si>
  <si>
    <t xml:space="preserve">Rationale / Notes</t>
  </si>
  <si>
    <t xml:space="preserve">4 - Item shipped (outbound) email</t>
  </si>
  <si>
    <t xml:space="preserve">Outbound carrier status = accepted / in_transit</t>
  </si>
  <si>
    <t xml:space="preserve">Immediately on first accepted scan</t>
  </si>
  <si>
    <t xml:space="preserve">Subject: Your Sherbrt item is on the way! 🚚
Hi [Borrower First Name],
Your "[Item]" has shipped! Track it here: [tracking_link].
Enjoy it until [Return Date] — late fees apply after that date. Terms: [terms_link].
Sherbrt 🍧</t>
  </si>
  <si>
    <t xml:space="preserve">SendGrid template</t>
  </si>
  <si>
    <t xml:space="preserve">Not started</t>
  </si>
  <si>
    <t xml:space="preserve">SMS covers the urgent notice. Email is nice-to-have for record/receipt. Check whether Sharetribe already sends a native notification before building.</t>
  </si>
  <si>
    <t xml:space="preserve">6 - Item delivered email</t>
  </si>
  <si>
    <t xml:space="preserve">Outbound carrier status = delivered</t>
  </si>
  <si>
    <t xml:space="preserve">Subject: Your Sherbrt item has arrived ✨
Hi [Borrower First Name],
Your "[Item]" has been delivered. Enjoy it until [Return Date].
On return day, use your QR/label to ship it back. Late returns may incur $15/day fees and, if not returned in good condition, a replacement charge up to the item's replacement value. See Terms: [terms_link].
Don't forget to tag @shoponsherbrt on Instagram 📸✨
Sherbrt 🍧</t>
  </si>
  <si>
    <t xml:space="preserve">Marketing-driven: Instagram CTA + terms recap. Build after P0/P1 items land.</t>
  </si>
  <si>
    <t xml:space="preserve">2b - Prepping your borrow (new)</t>
  </si>
  <si>
    <t xml:space="preserve">Lender label printed / 12h after accept with no ship scan</t>
  </si>
  <si>
    <t xml:space="preserve">T+12h from accept transition OR on label print event</t>
  </si>
  <si>
    <t xml:space="preserve">Sherbrt 🍧: “[Item]” is being prepped for you ✨ We'll text tracking the moment it ships. View details: [transaction_link].</t>
  </si>
  <si>
    <t xml:space="preserve">Twilio + label-print webhook OR cron check</t>
  </si>
  <si>
    <t xml:space="preserve">Proposed</t>
  </si>
  <si>
    <t xml:space="preserve">Closes the silence between accept (2a-SMS) and outbound shipped (4-SMS), which can be 24–48h apart. Sets expectations and reduces "did my lender forget" anxiety.</t>
  </si>
  <si>
    <t xml:space="preserve">PR-4 — Staging Dry-Run Instructions</t>
  </si>
  <si>
    <t xml:space="preserve">Verify the late-fee charging pipeline end-to-end with $0.50 test charges before flipping to $15.</t>
  </si>
  <si>
    <t xml:space="preserve">Environment Variables (Render Dashboard)</t>
  </si>
  <si>
    <t xml:space="preserve">Variable</t>
  </si>
  <si>
    <t xml:space="preserve">Value</t>
  </si>
  <si>
    <t xml:space="preserve">Purpose</t>
  </si>
  <si>
    <t xml:space="preserve">OVERDUE_FEES_CHARGING_ENABLED</t>
  </si>
  <si>
    <t xml:space="preserve">true</t>
  </si>
  <si>
    <t xml:space="preserve">Enables the Stripe transition call in applyCharges(). Default: false.</t>
  </si>
  <si>
    <t xml:space="preserve">LATE_FEE_CENTS_OVERRIDE</t>
  </si>
  <si>
    <t xml:space="preserve">50</t>
  </si>
  <si>
    <t xml:space="preserve">Overrides LATE_FEE_CENTS from 1500 ($15) to 50 ($0.50). Remove after test.</t>
  </si>
  <si>
    <t xml:space="preserve">OPS_ALERT_EMAIL</t>
  </si>
  <si>
    <t xml:space="preserve">amalyb@gmail.com</t>
  </si>
  <si>
    <t xml:space="preserve">Recipient for day-6 alert + daily digest emails. Already set if using default.</t>
  </si>
  <si>
    <t xml:space="preserve">Step-by-Step</t>
  </si>
  <si>
    <t xml:space="preserve">Step</t>
  </si>
  <si>
    <t xml:space="preserve">Action</t>
  </si>
  <si>
    <t xml:space="preserve">How to Verify</t>
  </si>
  <si>
    <t xml:space="preserve">Set env vars in Render dashboard</t>
  </si>
  <si>
    <t xml:space="preserve">Render → Environment → add/edit the 2 vars above → Save → auto-deploy triggers</t>
  </si>
  <si>
    <t xml:space="preserve">No code change needed. Deploy takes ~2-3 min.</t>
  </si>
  <si>
    <t xml:space="preserve">Create a test transaction</t>
  </si>
  <si>
    <t xml:space="preserve">Create a borrow request with a return date in the past (or use FORCE_TODAY to simulate). The tx must be in "accepted" state with no return scan.</t>
  </si>
  <si>
    <t xml:space="preserve">Tip: set return due date to yesterday so Day 1 triggers on next cron run.</t>
  </si>
  <si>
    <t xml:space="preserve">Wait for cron or trigger manually</t>
  </si>
  <si>
    <t xml:space="preserve">Run: node server/scripts/sendOverdueReminders.js --verbose
Or wait for 17:00 UTC automatic run.</t>
  </si>
  <si>
    <t xml:space="preserve">Manual run uses the same code path as the cron. Use FORCE_NOW/FORCE_TODAY for date simulation.</t>
  </si>
  <si>
    <t xml:space="preserve">Check Render logs for structured events</t>
  </si>
  <si>
    <t xml:space="preserve">Search for: "overdue.charge"
Expect: {"event":"overdue.charge","txId":"...","amounts":[{"code":"late-fee","cents":50}]}
No "overdue.charge.error" events.</t>
  </si>
  <si>
    <t xml:space="preserve">The structured JSON logs (PR-5) are filterable by event field.</t>
  </si>
  <si>
    <t xml:space="preserve">Verify in Stripe</t>
  </si>
  <si>
    <t xml:space="preserve">Find the payment intent for the test tx. Should show a $0.50 capture (not $15).</t>
  </si>
  <si>
    <t xml:space="preserve">Stripe Dashboard → Payments → search by tx ID or amount.</t>
  </si>
  <si>
    <t xml:space="preserve">Verify in Sharetribe Console</t>
  </si>
  <si>
    <t xml:space="preserve">Check tx protectedData → return.chargeHistory has new entry with amount: 50.
Check return.lastLateFeeDayCharged is set to today's date.</t>
  </si>
  <si>
    <t xml:space="preserve">Console: https://console.sharetribe.com/o/sherbrt/transactions/[txId]</t>
  </si>
  <si>
    <t xml:space="preserve">7</t>
  </si>
  <si>
    <t xml:space="preserve">Verify day-6 email (if testing day 6)</t>
  </si>
  <si>
    <t xml:space="preserve">Check amalyb@gmail.com for "[Sherbrt] Day-6 overdue" email.
Check for daily digest email after cron completes.</t>
  </si>
  <si>
    <t xml:space="preserve">Day-6 email only fires when daysLate === 6 AND SMS succeeds.</t>
  </si>
  <si>
    <t xml:space="preserve">8</t>
  </si>
  <si>
    <t xml:space="preserve">REVERT env vars in Render</t>
  </si>
  <si>
    <t xml:space="preserve">Set OVERDUE_FEES_CHARGING_ENABLED = false
Remove LATE_FEE_CENTS_OVERRIDE
Save → auto-deploy</t>
  </si>
  <si>
    <t xml:space="preserve">CRITICAL: Do not leave charging enabled at $0.50 in prod.</t>
  </si>
  <si>
    <t xml:space="preserve">⚠️</t>
  </si>
  <si>
    <t xml:space="preserve">AFTER TESTING: Proceed to PR-6</t>
  </si>
  <si>
    <t xml:space="preserve">Once verified, set OVERDUE_FEES_CHARGING_ENABLED=true and REMOVE LATE_FEE_CENTS_OVERRIDE to charge $15. This is PR-6 (the flag flip).</t>
  </si>
  <si>
    <t xml:space="preserve">Do NOT set both at once — remove the override first, then enable.</t>
  </si>
  <si>
    <t xml:space="preserve">Sherbrt — Inbox Page Titles (default-booking)</t>
  </si>
  <si>
    <t xml:space="preserve">User-facing titles rendered on the Inbox + TransactionPage views. Backend "activity" = Sharetribe state (post-transition state name). Sourced from src/translations/en.json (TransactionPage.default-booking.* keys). Mobile mirror: lib/transactions.ts STATE_TO_STATUS / STATE_TO_LENDER_STATUS.</t>
  </si>
  <si>
    <t xml:space="preserve">Backend State (Sharetribe)</t>
  </si>
  <si>
    <t xml:space="preserve">Triggering Transition</t>
  </si>
  <si>
    <t xml:space="preserve">Inbox Title (User Sees)</t>
  </si>
  <si>
    <t xml:space="preserve">en.json Key</t>
  </si>
  <si>
    <t xml:space="preserve">Mobile Label (lib/transactions.ts)</t>
  </si>
  <si>
    <t xml:space="preserve">inquiry</t>
  </si>
  <si>
    <t xml:space="preserve">transition/inquire</t>
  </si>
  <si>
    <t xml:space="preserve">You sent an inquiry.</t>
  </si>
  <si>
    <t xml:space="preserve">TransactionPage.default-booking.customer.inquiry.title</t>
  </si>
  <si>
    <t xml:space="preserve">Inquiry sent</t>
  </si>
  <si>
    <t xml:space="preserve">Optional inquiry path.</t>
  </si>
  <si>
    <t xml:space="preserve">pending-payment</t>
  </si>
  <si>
    <t xml:space="preserve">transition/request-payment</t>
  </si>
  <si>
    <t xml:space="preserve">{customerName}, you haven't confirmed the payment yet.</t>
  </si>
  <si>
    <t xml:space="preserve">TransactionPage.default-booking.customer.pending-payment.title</t>
  </si>
  <si>
    <t xml:space="preserve">Finishing payment…</t>
  </si>
  <si>
    <t xml:space="preserve">Borrower at Stripe checkout. 15-min window.</t>
  </si>
  <si>
    <t xml:space="preserve">payment-expired</t>
  </si>
  <si>
    <t xml:space="preserve">transition/expire-payment</t>
  </si>
  <si>
    <t xml:space="preserve">Request expired.</t>
  </si>
  <si>
    <t xml:space="preserve">TransactionPage.default-booking.customer.payment-expired.title</t>
  </si>
  <si>
    <t xml:space="preserve">Payment didn't go through (mobile)</t>
  </si>
  <si>
    <t xml:space="preserve">May 7, 2026 copy refresh — was "You didn't confirm the payment in time." (borrower-blamey). 15-min Stripe checkout timeout. Mobile label still says "Payment didn't go through" — pending mobile sync.</t>
  </si>
  <si>
    <t xml:space="preserve">preauthorized</t>
  </si>
  <si>
    <t xml:space="preserve">transition/confirm-payment</t>
  </si>
  <si>
    <t xml:space="preserve">Your booking request was successful!</t>
  </si>
  <si>
    <t xml:space="preserve">TransactionPage.default-booking.customer.preauthorized.title</t>
  </si>
  <si>
    <t xml:space="preserve">Waiting for lender</t>
  </si>
  <si>
    <t xml:space="preserve">Awaiting lender accept (24h window).</t>
  </si>
  <si>
    <t xml:space="preserve">preauthorized (extra)</t>
  </si>
  <si>
    <t xml:space="preserve">You'll be notified when {providerName} accepts your request.</t>
  </si>
  <si>
    <t xml:space="preserve">TransactionPage.default-booking.customer.preauthorized.extraInfo</t>
  </si>
  <si>
    <t xml:space="preserve">—</t>
  </si>
  <si>
    <t xml:space="preserve">Sub-title under the preauthorized state.</t>
  </si>
  <si>
    <t xml:space="preserve">expired</t>
  </si>
  <si>
    <t xml:space="preserve">transition/expire</t>
  </si>
  <si>
    <t xml:space="preserve">Your booking request expired.</t>
  </si>
  <si>
    <t xml:space="preserve">TransactionPage.default-booking.customer.expired.title</t>
  </si>
  <si>
    <t xml:space="preserve">Request expired</t>
  </si>
  <si>
    <t xml:space="preserve">Lender did not accept in 24h. Triggers the new 1c-SMS (Log tab).</t>
  </si>
  <si>
    <t xml:space="preserve">declined</t>
  </si>
  <si>
    <t xml:space="preserve">transition/decline / operator-decline</t>
  </si>
  <si>
    <t xml:space="preserve">Your booking request was declined.</t>
  </si>
  <si>
    <t xml:space="preserve">TransactionPage.default-booking.customer.declined.title</t>
  </si>
  <si>
    <t xml:space="preserve">Lender declined</t>
  </si>
  <si>
    <t xml:space="preserve">Lender clicked Decline. Triggers 2b-SMS (Log tab).</t>
  </si>
  <si>
    <t xml:space="preserve">accepted</t>
  </si>
  <si>
    <t xml:space="preserve">transition/accept / operator-accept</t>
  </si>
  <si>
    <t xml:space="preserve">Your booking request was accepted!</t>
  </si>
  <si>
    <t xml:space="preserve">TransactionPage.default-booking.customer.accepted.title</t>
  </si>
  <si>
    <t xml:space="preserve">In progress</t>
  </si>
  <si>
    <t xml:space="preserve">Triggers 2a-SMS / 2a-Email + Shippo label flow.</t>
  </si>
  <si>
    <t xml:space="preserve">canceled</t>
  </si>
  <si>
    <t xml:space="preserve">transition/cancel / auto-cancel-unshipped</t>
  </si>
  <si>
    <t xml:space="preserve">Your booking was canceled.</t>
  </si>
  <si>
    <t xml:space="preserve">TransactionPage.default-booking.customer.canceled.title</t>
  </si>
  <si>
    <t xml:space="preserve">Canceled</t>
  </si>
  <si>
    <t xml:space="preserve">Operator cancel or 3.2-SMS auto-cancel-unshipped.</t>
  </si>
  <si>
    <t xml:space="preserve">delivered</t>
  </si>
  <si>
    <t xml:space="preserve">transition/complete-return / complete-replacement / operator-complete</t>
  </si>
  <si>
    <t xml:space="preserve">Your booking was completed.</t>
  </si>
  <si>
    <t xml:space="preserve">TransactionPage.default-booking.customer.delivered.title</t>
  </si>
  <si>
    <t xml:space="preserve">Returned</t>
  </si>
  <si>
    <t xml:space="preserve">Return scan or operator close-out.</t>
  </si>
  <si>
    <t xml:space="preserve">reviewed-by-customer</t>
  </si>
  <si>
    <t xml:space="preserve">transition/review-1-by-customer</t>
  </si>
  <si>
    <t xml:space="preserve">TransactionPage.default-booking.customer.reviewed-by-customer.title</t>
  </si>
  <si>
    <t xml:space="preserve">Awaiting lender review</t>
  </si>
  <si>
    <t xml:space="preserve">Same title as delivered — diff is in the activity feed.</t>
  </si>
  <si>
    <t xml:space="preserve">reviewed-by-provider</t>
  </si>
  <si>
    <t xml:space="preserve">transition/review-1-by-provider</t>
  </si>
  <si>
    <t xml:space="preserve">TransactionPage.default-booking.customer.reviewed-by-provider.title</t>
  </si>
  <si>
    <t xml:space="preserve">Awaiting your review</t>
  </si>
  <si>
    <t xml:space="preserve">Reviewing reciprocally; lender reviewed first.</t>
  </si>
  <si>
    <t xml:space="preserve">reviewed</t>
  </si>
  <si>
    <t xml:space="preserve">transition/review-2-by-* / expire-review-period</t>
  </si>
  <si>
    <t xml:space="preserve">TransactionPage.default-booking.customer.reviewed.title</t>
  </si>
  <si>
    <t xml:space="preserve">Complete</t>
  </si>
  <si>
    <t xml:space="preserve">Both reviews published or 7d expiry.</t>
  </si>
  <si>
    <t xml:space="preserve">initial</t>
  </si>
  <si>
    <t xml:space="preserve">Booking initiated.</t>
  </si>
  <si>
    <t xml:space="preserve">TransactionPage.default-booking.customer.initial.title</t>
  </si>
  <si>
    <t xml:space="preserve">Pre-request placeholder; rarely visible in inbox.</t>
  </si>
  <si>
    <t xml:space="preserve">You received an inquiry from {customerName}.</t>
  </si>
  <si>
    <t xml:space="preserve">TransactionPage.default-booking.provider.inquiry.title</t>
  </si>
  <si>
    <t xml:space="preserve">Customer inquiry</t>
  </si>
  <si>
    <t xml:space="preserve">Payment hasn't been confirmed yet.</t>
  </si>
  <si>
    <t xml:space="preserve">TransactionPage.default-booking.provider.pending-payment.title</t>
  </si>
  <si>
    <t xml:space="preserve">Awaiting payment</t>
  </si>
  <si>
    <t xml:space="preserve">Borrower still at Stripe checkout.</t>
  </si>
  <si>
    <t xml:space="preserve">Request not accepted.</t>
  </si>
  <si>
    <t xml:space="preserve">TransactionPage.default-booking.provider.payment-expired.title</t>
  </si>
  <si>
    <t xml:space="preserve">May 7, 2026 copy refresh — was "Payment wasn't confirmed in time." (confusing for lender). Mobile label pending sync.</t>
  </si>
  <si>
    <t xml:space="preserve">You received a booking request from {customerName}.</t>
  </si>
  <si>
    <t xml:space="preserve">TransactionPage.default-booking.provider.preauthorized.title</t>
  </si>
  <si>
    <t xml:space="preserve">New request</t>
  </si>
  <si>
    <t xml:space="preserve">Lender Action: accept or decline within 24h. Triggers 1-SMS / 1a-SMS (60m) / 1b-SMS (22h).</t>
  </si>
  <si>
    <t xml:space="preserve">The request from {customerName} expired.</t>
  </si>
  <si>
    <t xml:space="preserve">TransactionPage.default-booking.provider.expired.title</t>
  </si>
  <si>
    <t xml:space="preserve">Request expired (no response)</t>
  </si>
  <si>
    <t xml:space="preserve">Lender did not accept in 24h. Borrower receives 1c-SMS at this transition.</t>
  </si>
  <si>
    <t xml:space="preserve">The request from {customerName} was declined.</t>
  </si>
  <si>
    <t xml:space="preserve">TransactionPage.default-booking.provider.declined.title</t>
  </si>
  <si>
    <t xml:space="preserve">You declined</t>
  </si>
  <si>
    <t xml:space="preserve">Lender clicked Decline.</t>
  </si>
  <si>
    <t xml:space="preserve">You accepted a booking request from {customerName}.</t>
  </si>
  <si>
    <t xml:space="preserve">TransactionPage.default-booking.provider.accepted.title</t>
  </si>
  <si>
    <t xml:space="preserve">Lender clicked Accept; Shippo label flow starts.</t>
  </si>
  <si>
    <t xml:space="preserve">The booking from {customerName} was canceled.</t>
  </si>
  <si>
    <t xml:space="preserve">TransactionPage.default-booking.provider.canceled.title</t>
  </si>
  <si>
    <t xml:space="preserve">Operator cancel or auto-cancel-unshipped.</t>
  </si>
  <si>
    <t xml:space="preserve">The booking from {customerName} was completed.</t>
  </si>
  <si>
    <t xml:space="preserve">TransactionPage.default-booking.provider.delivered.title</t>
  </si>
  <si>
    <t xml:space="preserve">The booking was completed.</t>
  </si>
  <si>
    <t xml:space="preserve">TransactionPage.default-booking.provider.reviewed-by-customer.title</t>
  </si>
  <si>
    <t xml:space="preserve">TransactionPage.default-booking.provider.reviewed-by-provider.title</t>
  </si>
  <si>
    <t xml:space="preserve">Awaiting customer review</t>
  </si>
  <si>
    <t xml:space="preserve">TransactionPage.default-booking.provider.reviewed.title</t>
  </si>
</sst>
</file>

<file path=xl/styles.xml><?xml version="1.0" encoding="utf-8"?>
<styleSheet xmlns="http://schemas.openxmlformats.org/spreadsheetml/2006/main">
  <numFmts count="1">
    <numFmt numFmtId="164" formatCode="General"/>
  </numFmts>
  <fonts count="20">
    <font>
      <sz val="11"/>
      <color theme="1"/>
      <name val="Calibri"/>
      <family val="0"/>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1"/>
      <color rgb="FFFFFFFF"/>
      <name val="Arial"/>
      <family val="0"/>
      <charset val="1"/>
    </font>
    <font>
      <b val="true"/>
      <sz val="10"/>
      <color theme="1"/>
      <name val="Arial"/>
      <family val="0"/>
      <charset val="1"/>
    </font>
    <font>
      <sz val="10"/>
      <color theme="1"/>
      <name val="Arial"/>
      <family val="0"/>
      <charset val="1"/>
    </font>
    <font>
      <i val="true"/>
      <sz val="9"/>
      <color rgb="FF7A7A7A"/>
      <name val="Arial"/>
      <family val="0"/>
      <charset val="1"/>
    </font>
    <font>
      <b val="true"/>
      <sz val="16"/>
      <color rgb="FF1A1A1A"/>
      <name val="Calibri"/>
      <family val="0"/>
      <charset val="1"/>
    </font>
    <font>
      <i val="true"/>
      <sz val="11"/>
      <color rgb="FF666666"/>
      <name val="Calibri"/>
      <family val="0"/>
      <charset val="1"/>
    </font>
    <font>
      <b val="true"/>
      <sz val="12"/>
      <color rgb="FFFFFFFF"/>
      <name val="Calibri"/>
      <family val="0"/>
      <charset val="1"/>
    </font>
    <font>
      <b val="true"/>
      <sz val="11"/>
      <color theme="1"/>
      <name val="Calibri"/>
      <family val="0"/>
      <charset val="1"/>
    </font>
    <font>
      <b val="true"/>
      <sz val="11"/>
      <color rgb="FF3B3B3B"/>
      <name val="Calibri"/>
      <family val="0"/>
      <charset val="1"/>
    </font>
    <font>
      <b val="true"/>
      <sz val="16"/>
      <color rgb="FFFFFFFF"/>
      <name val="Arial"/>
      <family val="0"/>
      <charset val="1"/>
    </font>
    <font>
      <b val="true"/>
      <sz val="11"/>
      <color theme="1"/>
      <name val="Arial"/>
      <family val="0"/>
      <charset val="1"/>
    </font>
    <font>
      <b val="true"/>
      <sz val="14"/>
      <color theme="1"/>
      <name val="Arial"/>
      <family val="0"/>
      <charset val="1"/>
    </font>
    <font>
      <sz val="10"/>
      <color theme="1"/>
      <name val="Consolas"/>
      <family val="0"/>
      <charset val="1"/>
    </font>
    <font>
      <i val="true"/>
      <sz val="10"/>
      <color theme="1"/>
      <name val="Arial"/>
      <family val="0"/>
      <charset val="1"/>
    </font>
  </fonts>
  <fills count="14">
    <fill>
      <patternFill patternType="none"/>
    </fill>
    <fill>
      <patternFill patternType="gray125"/>
    </fill>
    <fill>
      <patternFill patternType="solid">
        <fgColor rgb="FF202124"/>
        <bgColor rgb="FF1A1A1A"/>
      </patternFill>
    </fill>
    <fill>
      <patternFill patternType="solid">
        <fgColor rgb="FF434343"/>
        <bgColor rgb="FF3B3B3B"/>
      </patternFill>
    </fill>
    <fill>
      <patternFill patternType="solid">
        <fgColor rgb="FFF8F4EE"/>
        <bgColor rgb="FFEDEDED"/>
      </patternFill>
    </fill>
    <fill>
      <patternFill patternType="solid">
        <fgColor rgb="FF2A4365"/>
        <bgColor rgb="FF434343"/>
      </patternFill>
    </fill>
    <fill>
      <patternFill patternType="solid">
        <fgColor rgb="FFECE7DD"/>
        <bgColor rgb="FFE6E6E6"/>
      </patternFill>
    </fill>
    <fill>
      <patternFill patternType="solid">
        <fgColor rgb="FFFFFFFF"/>
        <bgColor rgb="FFF8F4EE"/>
      </patternFill>
    </fill>
    <fill>
      <patternFill patternType="solid">
        <fgColor rgb="FFC6EFCE"/>
        <bgColor rgb="FFCDEBD4"/>
      </patternFill>
    </fill>
    <fill>
      <patternFill patternType="solid">
        <fgColor rgb="FFFFEB9C"/>
        <bgColor rgb="FFFFF3CC"/>
      </patternFill>
    </fill>
    <fill>
      <patternFill patternType="solid">
        <fgColor rgb="FFFFC7CE"/>
        <bgColor rgb="FFFBD5D5"/>
      </patternFill>
    </fill>
    <fill>
      <patternFill patternType="solid">
        <fgColor rgb="FF4472C4"/>
        <bgColor rgb="FF666666"/>
      </patternFill>
    </fill>
    <fill>
      <patternFill patternType="solid">
        <fgColor rgb="FFD9E2F3"/>
        <bgColor rgb="FFD9E1F2"/>
      </patternFill>
    </fill>
    <fill>
      <patternFill patternType="solid">
        <fgColor rgb="FFD9E1F2"/>
        <bgColor rgb="FFD9E2F3"/>
      </patternFill>
    </fill>
  </fills>
  <borders count="2">
    <border diagonalUp="false" diagonalDown="false">
      <left/>
      <right/>
      <top/>
      <bottom/>
      <diagonal/>
    </border>
    <border diagonalUp="false" diagonalDown="false">
      <left style="thin">
        <color rgb="FFD9D5CF"/>
      </left>
      <right style="thin">
        <color rgb="FFD9D5CF"/>
      </right>
      <top style="thin">
        <color rgb="FFD9D5CF"/>
      </top>
      <bottom style="thin">
        <color rgb="FFD9D5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5" borderId="0" xfId="0" applyFont="true" applyBorder="true" applyAlignment="true" applyProtection="false">
      <alignment horizontal="left" vertical="top" textRotation="0" wrapText="true" indent="0" shrinkToFit="false"/>
      <protection locked="true" hidden="false"/>
    </xf>
    <xf numFmtId="164" fontId="13" fillId="6" borderId="0"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4" fillId="6" borderId="0" xfId="0" applyFont="true" applyBorder="true" applyAlignment="true" applyProtection="false">
      <alignment horizontal="left" vertical="top" textRotation="0" wrapText="tru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6" fillId="11"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7" fillId="12" borderId="0" xfId="0" applyFont="true" applyBorder="true" applyAlignment="true" applyProtection="false">
      <alignment horizontal="center" vertical="top" textRotation="0" wrapText="false" indent="0" shrinkToFit="false"/>
      <protection locked="true" hidden="false"/>
    </xf>
    <xf numFmtId="164" fontId="8" fillId="12" borderId="0" xfId="0" applyFont="true" applyBorder="true" applyAlignment="true" applyProtection="false">
      <alignment horizontal="general" vertical="top" textRotation="0" wrapText="true" indent="0" shrinkToFit="false"/>
      <protection locked="true" hidden="false"/>
    </xf>
    <xf numFmtId="164" fontId="7" fillId="7" borderId="0" xfId="0" applyFont="true" applyBorder="true" applyAlignment="true" applyProtection="false">
      <alignment horizontal="center" vertical="top" textRotation="0" wrapText="false" indent="0" shrinkToFit="false"/>
      <protection locked="true" hidden="false"/>
    </xf>
    <xf numFmtId="164" fontId="8" fillId="7" borderId="0" xfId="0" applyFont="true" applyBorder="true" applyAlignment="true" applyProtection="false">
      <alignment horizontal="general" vertical="top" textRotation="0" wrapText="true" indent="0" shrinkToFit="false"/>
      <protection locked="true" hidden="false"/>
    </xf>
    <xf numFmtId="164" fontId="7" fillId="1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6" fillId="13"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fgColor rgb="FF434343"/>
          <bgColor rgb="FF000000"/>
        </patternFill>
      </fill>
    </dxf>
    <dxf>
      <fill>
        <patternFill patternType="solid">
          <fgColor rgb="FFF8F4EE"/>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DEBFF"/>
          <bgColor rgb="FF000000"/>
        </patternFill>
      </fill>
    </dxf>
    <dxf>
      <fill>
        <patternFill patternType="solid">
          <fgColor rgb="FFEFE3FB"/>
          <bgColor rgb="FF000000"/>
        </patternFill>
      </fill>
    </dxf>
    <dxf>
      <fill>
        <patternFill patternType="solid">
          <fgColor rgb="FFDEF3E5"/>
          <bgColor rgb="FF000000"/>
        </patternFill>
      </fill>
    </dxf>
    <dxf>
      <fill>
        <patternFill patternType="solid">
          <fgColor rgb="FFFFE7D6"/>
          <bgColor rgb="FF000000"/>
        </patternFill>
      </fill>
    </dxf>
    <dxf>
      <fill>
        <patternFill patternType="solid">
          <fgColor rgb="FFCDEBD4"/>
          <bgColor rgb="FF000000"/>
        </patternFill>
      </fill>
    </dxf>
    <dxf>
      <fill>
        <patternFill patternType="solid">
          <fgColor rgb="FFFFF3CC"/>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DDEBFF"/>
        </patternFill>
      </fill>
    </dxf>
    <dxf>
      <fill>
        <patternFill>
          <bgColor rgb="FFEFE3FB"/>
        </patternFill>
      </fill>
    </dxf>
    <dxf>
      <fill>
        <patternFill>
          <bgColor rgb="FFE3F0E7"/>
        </patternFill>
      </fill>
    </dxf>
    <dxf>
      <fill>
        <patternFill>
          <bgColor rgb="FFDEF3E5"/>
        </patternFill>
      </fill>
    </dxf>
    <dxf>
      <fill>
        <patternFill>
          <bgColor rgb="FFFFE7D6"/>
        </patternFill>
      </fill>
    </dxf>
    <dxf>
      <fill>
        <patternFill>
          <bgColor rgb="FFEDE3FA"/>
        </patternFill>
      </fill>
    </dxf>
    <dxf>
      <fill>
        <patternFill>
          <bgColor rgb="FFCDEBD4"/>
        </patternFill>
      </fill>
    </dxf>
    <dxf>
      <fill>
        <patternFill>
          <bgColor rgb="FFFFF3CC"/>
        </patternFill>
      </fill>
    </dxf>
    <dxf>
      <fill>
        <patternFill>
          <bgColor rgb="FFFBD5D5"/>
        </patternFill>
      </fill>
    </dxf>
    <dxf>
      <fill>
        <patternFill>
          <bgColor rgb="FFEDEDED"/>
        </patternFill>
      </fill>
    </dxf>
    <dxf>
      <fill>
        <patternFill patternType="solid">
          <fgColor rgb="FFE6E6E6"/>
          <bgColor rgb="FF000000"/>
        </patternFill>
      </fill>
    </dxf>
    <dxf>
      <fill>
        <patternFill>
          <bgColor rgb="FFE6E6E6"/>
        </patternFill>
      </fill>
    </dxf>
  </dxfs>
  <colors>
    <indexedColors>
      <rgbColor rgb="FF000000"/>
      <rgbColor rgb="FFFFFFFF"/>
      <rgbColor rgb="FFFF0000"/>
      <rgbColor rgb="FF00FF00"/>
      <rgbColor rgb="FF0000FF"/>
      <rgbColor rgb="FFFFE7D6"/>
      <rgbColor rgb="FFFF00FF"/>
      <rgbColor rgb="FF00FFFF"/>
      <rgbColor rgb="FF800000"/>
      <rgbColor rgb="FF008000"/>
      <rgbColor rgb="FF000080"/>
      <rgbColor rgb="FF808000"/>
      <rgbColor rgb="FF800080"/>
      <rgbColor rgb="FF008080"/>
      <rgbColor rgb="FFD9D5CF"/>
      <rgbColor rgb="FF7A7A7A"/>
      <rgbColor rgb="FFCDEBD4"/>
      <rgbColor rgb="FF595959"/>
      <rgbColor rgb="FFFFF3CC"/>
      <rgbColor rgb="FFDEF3E5"/>
      <rgbColor rgb="FF660066"/>
      <rgbColor rgb="FFEDEDED"/>
      <rgbColor rgb="FF0066CC"/>
      <rgbColor rgb="FFD9E1F2"/>
      <rgbColor rgb="FF000080"/>
      <rgbColor rgb="FFFF00FF"/>
      <rgbColor rgb="FFECE7DD"/>
      <rgbColor rgb="FF00FFFF"/>
      <rgbColor rgb="FF800080"/>
      <rgbColor rgb="FF800000"/>
      <rgbColor rgb="FF008080"/>
      <rgbColor rgb="FF0000FF"/>
      <rgbColor rgb="FF00CCFF"/>
      <rgbColor rgb="FFDDEBFF"/>
      <rgbColor rgb="FFC6EFCE"/>
      <rgbColor rgb="FFFFEB9C"/>
      <rgbColor rgb="FFD9E2F3"/>
      <rgbColor rgb="FFFBD5D5"/>
      <rgbColor rgb="FFEDE3FA"/>
      <rgbColor rgb="FFFFC7CE"/>
      <rgbColor rgb="FF4472C4"/>
      <rgbColor rgb="FF33CCCC"/>
      <rgbColor rgb="FFE3F0E7"/>
      <rgbColor rgb="FFE6E6E6"/>
      <rgbColor rgb="FFF8F4EE"/>
      <rgbColor rgb="FFFF6600"/>
      <rgbColor rgb="FF666666"/>
      <rgbColor rgb="FFEFE3FB"/>
      <rgbColor rgb="FF434343"/>
      <rgbColor rgb="FF339966"/>
      <rgbColor rgb="FF1A1A1A"/>
      <rgbColor rgb="FF202124"/>
      <rgbColor rgb="FF993300"/>
      <rgbColor rgb="FF993366"/>
      <rgbColor rgb="FF2A4365"/>
      <rgbColor rgb="FF3B3B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8"/>
    <col collapsed="false" customWidth="true" hidden="false" outlineLevel="0" max="4" min="2" style="0" width="12"/>
    <col collapsed="false" customWidth="true" hidden="false" outlineLevel="0" max="6" min="5" style="0" width="8.71"/>
  </cols>
  <sheetData>
    <row r="1" customFormat="false" ht="27.75" hidden="false" customHeight="true" outlineLevel="0" collapsed="false">
      <c r="A1" s="1" t="s">
        <v>0</v>
      </c>
      <c r="B1" s="1"/>
      <c r="C1" s="1"/>
      <c r="D1" s="1"/>
      <c r="E1" s="2"/>
      <c r="F1" s="2"/>
    </row>
    <row r="2" customFormat="false" ht="19.5" hidden="false" customHeight="true" outlineLevel="0" collapsed="false">
      <c r="A2" s="3" t="s">
        <v>1</v>
      </c>
      <c r="B2" s="3"/>
      <c r="C2" s="3"/>
      <c r="D2" s="3"/>
      <c r="E2" s="2"/>
      <c r="F2" s="2"/>
    </row>
    <row r="3" customFormat="false" ht="15" hidden="false" customHeight="false" outlineLevel="0" collapsed="false">
      <c r="A3" s="2"/>
      <c r="B3" s="2"/>
      <c r="C3" s="2"/>
      <c r="D3" s="2"/>
      <c r="E3" s="2"/>
      <c r="F3" s="2"/>
    </row>
    <row r="4" customFormat="false" ht="25.5" hidden="false" customHeight="true" outlineLevel="0" collapsed="false">
      <c r="A4" s="4" t="s">
        <v>2</v>
      </c>
      <c r="B4" s="4" t="s">
        <v>3</v>
      </c>
      <c r="C4" s="4" t="s">
        <v>4</v>
      </c>
      <c r="D4" s="4" t="s">
        <v>5</v>
      </c>
      <c r="E4" s="2"/>
      <c r="F4" s="2"/>
    </row>
    <row r="5" customFormat="false" ht="21.75" hidden="false" customHeight="true" outlineLevel="0" collapsed="false">
      <c r="A5" s="5" t="s">
        <v>6</v>
      </c>
      <c r="B5" s="6" t="n">
        <f aca="false">COUNTIF(Log!C5:C30,"SMS")</f>
        <v>22</v>
      </c>
      <c r="C5" s="6" t="n">
        <f aca="false">COUNTIF(Log!C5:C30,"Email")</f>
        <v>4</v>
      </c>
      <c r="D5" s="6" t="n">
        <f aca="false">COUNTA(Log!C5:C30)</f>
        <v>26</v>
      </c>
      <c r="E5" s="2"/>
      <c r="F5" s="2"/>
    </row>
    <row r="6" customFormat="false" ht="21.75" hidden="false" customHeight="true" outlineLevel="0" collapsed="false">
      <c r="A6" s="7" t="s">
        <v>7</v>
      </c>
      <c r="B6" s="8" t="n">
        <f aca="false">COUNTIFS(Log!C5:C30,"SMS",Log!D5:D30,"Lender")</f>
        <v>7</v>
      </c>
      <c r="C6" s="8" t="n">
        <f aca="false">COUNTIFS(Log!C5:C30,"Email",Log!D5:D30,"Lender")</f>
        <v>1</v>
      </c>
      <c r="D6" s="8" t="n">
        <f aca="false">COUNTIF(Log!D5:D30,"Lender")</f>
        <v>8</v>
      </c>
      <c r="E6" s="2"/>
      <c r="F6" s="2"/>
    </row>
    <row r="7" customFormat="false" ht="21.75" hidden="false" customHeight="true" outlineLevel="0" collapsed="false">
      <c r="A7" s="5" t="s">
        <v>8</v>
      </c>
      <c r="B7" s="6" t="n">
        <f aca="false">COUNTIFS(Log!C5:C30,"SMS",Log!D5:D30,"Borrower")</f>
        <v>15</v>
      </c>
      <c r="C7" s="6" t="n">
        <f aca="false">COUNTIFS(Log!C5:C30,"Email",Log!D5:D30,"Borrower")</f>
        <v>2</v>
      </c>
      <c r="D7" s="6" t="n">
        <f aca="false">COUNTIF(Log!D5:D30,"Borrower")</f>
        <v>17</v>
      </c>
      <c r="E7" s="2"/>
      <c r="F7" s="2"/>
    </row>
    <row r="8" customFormat="false" ht="21.75" hidden="false" customHeight="true" outlineLevel="0" collapsed="false">
      <c r="A8" s="7" t="s">
        <v>9</v>
      </c>
      <c r="B8" s="8" t="n">
        <f aca="false">COUNTIFS(Log!C5:C30,"SMS",Log!J5:J30,"Verified")</f>
        <v>9</v>
      </c>
      <c r="C8" s="8" t="n">
        <f aca="false">COUNTIFS(Log!C5:C30,"Email",Log!J5:J30,"Verified")</f>
        <v>3</v>
      </c>
      <c r="D8" s="8" t="n">
        <f aca="false">COUNTIF(Log!J5:J30,"Verified")</f>
        <v>12</v>
      </c>
      <c r="E8" s="2"/>
      <c r="F8" s="2"/>
    </row>
    <row r="9" customFormat="false" ht="21.75" hidden="false" customHeight="true" outlineLevel="0" collapsed="false">
      <c r="A9" s="5" t="s">
        <v>10</v>
      </c>
      <c r="B9" s="6" t="n">
        <f aca="false">COUNTIFS(Log!C5:C30,"SMS",Log!J5:J30,"")</f>
        <v>5</v>
      </c>
      <c r="C9" s="6" t="n">
        <f aca="false">COUNTIFS(Log!C5:C30,"Email",Log!J5:J30,"")</f>
        <v>1</v>
      </c>
      <c r="D9" s="6" t="n">
        <f aca="false">COUNTBLANK(Log!J5:J30)</f>
        <v>6</v>
      </c>
      <c r="E9" s="2"/>
      <c r="F9" s="2"/>
    </row>
    <row r="10" customFormat="false" ht="15" hidden="false" customHeight="false" outlineLevel="0" collapsed="false">
      <c r="A10" s="2"/>
      <c r="B10" s="2"/>
      <c r="C10" s="2"/>
      <c r="D10" s="2"/>
      <c r="E10" s="2"/>
      <c r="F10" s="2"/>
    </row>
    <row r="11" customFormat="false" ht="15" hidden="false" customHeight="true" outlineLevel="0" collapsed="false">
      <c r="A11" s="9" t="s">
        <v>11</v>
      </c>
      <c r="B11" s="9"/>
      <c r="C11" s="9"/>
      <c r="D11" s="9"/>
      <c r="E11" s="2"/>
      <c r="F11" s="2"/>
    </row>
    <row r="12" customFormat="false" ht="15" hidden="false" customHeight="false" outlineLevel="0" collapsed="false">
      <c r="A12" s="2"/>
      <c r="B12" s="2"/>
      <c r="C12" s="2"/>
      <c r="D12" s="2"/>
      <c r="E12" s="2"/>
      <c r="F12" s="2"/>
    </row>
    <row r="13" customFormat="false" ht="15" hidden="false" customHeight="false" outlineLevel="0" collapsed="false">
      <c r="A13" s="2"/>
      <c r="B13" s="2"/>
      <c r="C13" s="2"/>
      <c r="D13" s="2"/>
      <c r="E13" s="2"/>
      <c r="F13" s="2"/>
    </row>
    <row r="14" customFormat="false" ht="15" hidden="false" customHeight="false" outlineLevel="0" collapsed="false">
      <c r="A14" s="2"/>
      <c r="B14" s="2"/>
      <c r="C14" s="2"/>
      <c r="D14" s="2"/>
      <c r="E14" s="2"/>
      <c r="F14" s="2"/>
    </row>
    <row r="15" customFormat="false" ht="15" hidden="false" customHeight="false" outlineLevel="0" collapsed="false">
      <c r="A15" s="2"/>
      <c r="B15" s="2"/>
      <c r="C15" s="2"/>
      <c r="D15" s="2"/>
      <c r="E15" s="2"/>
      <c r="F15" s="2"/>
    </row>
    <row r="16" customFormat="false" ht="15" hidden="false" customHeight="false" outlineLevel="0" collapsed="false">
      <c r="A16" s="2"/>
      <c r="B16" s="2"/>
      <c r="C16" s="2"/>
      <c r="D16" s="2"/>
      <c r="E16" s="2"/>
      <c r="F16" s="2"/>
    </row>
    <row r="17" customFormat="false" ht="15" hidden="false" customHeight="false" outlineLevel="0" collapsed="false">
      <c r="A17" s="2"/>
      <c r="B17" s="2"/>
      <c r="C17" s="2"/>
      <c r="D17" s="2"/>
      <c r="E17" s="2"/>
      <c r="F17" s="2"/>
    </row>
    <row r="18" customFormat="false" ht="15" hidden="false" customHeight="false" outlineLevel="0" collapsed="false">
      <c r="A18" s="2"/>
      <c r="B18" s="2"/>
      <c r="C18" s="2"/>
      <c r="D18" s="2"/>
      <c r="E18" s="2"/>
      <c r="F18" s="2"/>
    </row>
    <row r="19" customFormat="false" ht="15" hidden="false" customHeight="false" outlineLevel="0" collapsed="false">
      <c r="A19" s="2"/>
      <c r="B19" s="2"/>
      <c r="C19" s="2"/>
      <c r="D19" s="2"/>
      <c r="E19" s="2"/>
      <c r="F19" s="2"/>
    </row>
    <row r="20" customFormat="false" ht="15" hidden="false" customHeight="false" outlineLevel="0" collapsed="false">
      <c r="A20" s="2"/>
      <c r="B20" s="2"/>
      <c r="C20" s="2"/>
      <c r="D20" s="2"/>
      <c r="E20" s="2"/>
      <c r="F20" s="2"/>
    </row>
    <row r="21" customFormat="false" ht="15.75" hidden="false" customHeight="true" outlineLevel="0" collapsed="false">
      <c r="A21" s="2"/>
      <c r="B21" s="2"/>
      <c r="C21" s="2"/>
      <c r="D21" s="2"/>
      <c r="E21" s="2"/>
      <c r="F21" s="2"/>
    </row>
    <row r="22" customFormat="false" ht="15.75" hidden="false" customHeight="true" outlineLevel="0" collapsed="false">
      <c r="A22" s="2"/>
      <c r="B22" s="2"/>
      <c r="C22" s="2"/>
      <c r="D22" s="2"/>
      <c r="E22" s="2"/>
      <c r="F22" s="2"/>
    </row>
    <row r="23" customFormat="false" ht="15.75" hidden="false" customHeight="true" outlineLevel="0" collapsed="false">
      <c r="A23" s="2"/>
      <c r="B23" s="2"/>
      <c r="C23" s="2"/>
      <c r="D23" s="2"/>
      <c r="E23" s="2"/>
      <c r="F23" s="2"/>
    </row>
    <row r="24" customFormat="false" ht="15.75" hidden="false" customHeight="true" outlineLevel="0" collapsed="false">
      <c r="A24" s="2"/>
      <c r="B24" s="2"/>
      <c r="C24" s="2"/>
      <c r="D24" s="2"/>
      <c r="E24" s="2"/>
      <c r="F24" s="2"/>
    </row>
    <row r="25" customFormat="false" ht="15.75" hidden="false" customHeight="true" outlineLevel="0" collapsed="false">
      <c r="A25" s="2"/>
      <c r="B25" s="2"/>
      <c r="C25" s="2"/>
      <c r="D25" s="2"/>
      <c r="E25" s="2"/>
      <c r="F25" s="2"/>
    </row>
    <row r="26" customFormat="false" ht="15.75" hidden="false" customHeight="true" outlineLevel="0" collapsed="false">
      <c r="A26" s="2"/>
      <c r="B26" s="2"/>
      <c r="C26" s="2"/>
      <c r="D26" s="2"/>
      <c r="E26" s="2"/>
      <c r="F26" s="2"/>
    </row>
    <row r="27" customFormat="false" ht="15.75" hidden="false" customHeight="true" outlineLevel="0" collapsed="false">
      <c r="A27" s="2"/>
      <c r="B27" s="2"/>
      <c r="C27" s="2"/>
      <c r="D27" s="2"/>
      <c r="E27" s="2"/>
      <c r="F27" s="2"/>
    </row>
    <row r="28" customFormat="false" ht="15.75" hidden="false" customHeight="true" outlineLevel="0" collapsed="false">
      <c r="A28" s="2"/>
      <c r="B28" s="2"/>
      <c r="C28" s="2"/>
      <c r="D28" s="2"/>
      <c r="E28" s="2"/>
      <c r="F28" s="2"/>
    </row>
    <row r="29" customFormat="false" ht="15.75" hidden="false" customHeight="true" outlineLevel="0" collapsed="false">
      <c r="A29" s="2"/>
      <c r="B29" s="2"/>
      <c r="C29" s="2"/>
      <c r="D29" s="2"/>
      <c r="E29" s="2"/>
      <c r="F29" s="2"/>
    </row>
    <row r="30" customFormat="false" ht="15.75" hidden="false" customHeight="true" outlineLevel="0" collapsed="false">
      <c r="A30" s="2"/>
      <c r="B30" s="2"/>
      <c r="C30" s="2"/>
      <c r="D30" s="2"/>
      <c r="E30" s="2"/>
      <c r="F30" s="2"/>
    </row>
    <row r="31" customFormat="false" ht="15.75" hidden="false" customHeight="true" outlineLevel="0" collapsed="false">
      <c r="A31" s="2"/>
      <c r="B31" s="2"/>
      <c r="C31" s="2"/>
      <c r="D31" s="2"/>
      <c r="E31" s="2"/>
      <c r="F31" s="2"/>
    </row>
    <row r="32" customFormat="false" ht="15.75" hidden="false" customHeight="true" outlineLevel="0" collapsed="false">
      <c r="A32" s="2"/>
      <c r="B32" s="2"/>
      <c r="C32" s="2"/>
      <c r="D32" s="2"/>
      <c r="E32" s="2"/>
      <c r="F32" s="2"/>
    </row>
    <row r="33" customFormat="false" ht="15.75" hidden="false" customHeight="true" outlineLevel="0" collapsed="false">
      <c r="A33" s="2"/>
      <c r="B33" s="2"/>
      <c r="C33" s="2"/>
      <c r="D33" s="2"/>
      <c r="E33" s="2"/>
      <c r="F33" s="2"/>
    </row>
    <row r="34" customFormat="false" ht="15.75" hidden="false" customHeight="true" outlineLevel="0" collapsed="false">
      <c r="A34" s="2"/>
      <c r="B34" s="2"/>
      <c r="C34" s="2"/>
      <c r="D34" s="2"/>
      <c r="E34" s="2"/>
      <c r="F34" s="2"/>
    </row>
    <row r="35" customFormat="false" ht="15.75" hidden="false" customHeight="true" outlineLevel="0" collapsed="false">
      <c r="A35" s="2"/>
      <c r="B35" s="2"/>
      <c r="C35" s="2"/>
      <c r="D35" s="2"/>
      <c r="E35" s="2"/>
      <c r="F35" s="2"/>
    </row>
    <row r="36" customFormat="false" ht="15.75" hidden="false" customHeight="true" outlineLevel="0" collapsed="false">
      <c r="A36" s="2"/>
      <c r="B36" s="2"/>
      <c r="C36" s="2"/>
      <c r="D36" s="2"/>
      <c r="E36" s="2"/>
      <c r="F36" s="2"/>
    </row>
    <row r="37" customFormat="false" ht="15.75" hidden="false" customHeight="true" outlineLevel="0" collapsed="false">
      <c r="A37" s="2"/>
      <c r="B37" s="2"/>
      <c r="C37" s="2"/>
      <c r="D37" s="2"/>
      <c r="E37" s="2"/>
      <c r="F37" s="2"/>
    </row>
    <row r="38" customFormat="false" ht="15.75" hidden="false" customHeight="true" outlineLevel="0" collapsed="false">
      <c r="A38" s="2"/>
      <c r="B38" s="2"/>
      <c r="C38" s="2"/>
      <c r="D38" s="2"/>
      <c r="E38" s="2"/>
      <c r="F38" s="2"/>
    </row>
    <row r="39" customFormat="false" ht="15.75" hidden="false" customHeight="true" outlineLevel="0" collapsed="false">
      <c r="A39" s="2"/>
      <c r="B39" s="2"/>
      <c r="C39" s="2"/>
      <c r="D39" s="2"/>
      <c r="E39" s="2"/>
      <c r="F39" s="2"/>
    </row>
    <row r="40" customFormat="false" ht="15.75" hidden="false" customHeight="true" outlineLevel="0" collapsed="false">
      <c r="A40" s="2"/>
      <c r="B40" s="2"/>
      <c r="C40" s="2"/>
      <c r="D40" s="2"/>
      <c r="E40" s="2"/>
      <c r="F40" s="2"/>
    </row>
    <row r="41" customFormat="false" ht="15.75" hidden="false" customHeight="true" outlineLevel="0" collapsed="false">
      <c r="A41" s="2"/>
      <c r="B41" s="2"/>
      <c r="C41" s="2"/>
      <c r="D41" s="2"/>
      <c r="E41" s="2"/>
      <c r="F41" s="2"/>
    </row>
    <row r="42" customFormat="false" ht="15.75" hidden="false" customHeight="true" outlineLevel="0" collapsed="false">
      <c r="A42" s="2"/>
      <c r="B42" s="2"/>
      <c r="C42" s="2"/>
      <c r="D42" s="2"/>
      <c r="E42" s="2"/>
      <c r="F42" s="2"/>
    </row>
    <row r="43" customFormat="false" ht="15.75" hidden="false" customHeight="true" outlineLevel="0" collapsed="false">
      <c r="A43" s="2"/>
      <c r="B43" s="2"/>
      <c r="C43" s="2"/>
      <c r="D43" s="2"/>
      <c r="E43" s="2"/>
      <c r="F43" s="2"/>
    </row>
    <row r="44" customFormat="false" ht="15.75" hidden="false" customHeight="true" outlineLevel="0" collapsed="false">
      <c r="A44" s="2"/>
      <c r="B44" s="2"/>
      <c r="C44" s="2"/>
      <c r="D44" s="2"/>
      <c r="E44" s="2"/>
      <c r="F44" s="2"/>
    </row>
    <row r="45" customFormat="false" ht="15.75" hidden="false" customHeight="true" outlineLevel="0" collapsed="false">
      <c r="A45" s="2"/>
      <c r="B45" s="2"/>
      <c r="C45" s="2"/>
      <c r="D45" s="2"/>
      <c r="E45" s="2"/>
      <c r="F45" s="2"/>
    </row>
    <row r="46" customFormat="false" ht="15.75" hidden="false" customHeight="true" outlineLevel="0" collapsed="false">
      <c r="A46" s="2"/>
      <c r="B46" s="2"/>
      <c r="C46" s="2"/>
      <c r="D46" s="2"/>
      <c r="E46" s="2"/>
      <c r="F46" s="2"/>
    </row>
    <row r="47" customFormat="false" ht="15.75" hidden="false" customHeight="true" outlineLevel="0" collapsed="false">
      <c r="A47" s="2"/>
      <c r="B47" s="2"/>
      <c r="C47" s="2"/>
      <c r="D47" s="2"/>
      <c r="E47" s="2"/>
      <c r="F47" s="2"/>
    </row>
    <row r="48" customFormat="false" ht="15.75" hidden="false" customHeight="true" outlineLevel="0" collapsed="false">
      <c r="A48" s="2"/>
      <c r="B48" s="2"/>
      <c r="C48" s="2"/>
      <c r="D48" s="2"/>
      <c r="E48" s="2"/>
      <c r="F48" s="2"/>
    </row>
    <row r="49" customFormat="false" ht="15.75" hidden="false" customHeight="true" outlineLevel="0" collapsed="false">
      <c r="A49" s="2"/>
      <c r="B49" s="2"/>
      <c r="C49" s="2"/>
      <c r="D49" s="2"/>
      <c r="E49" s="2"/>
      <c r="F49" s="2"/>
    </row>
    <row r="50" customFormat="false" ht="15.75" hidden="false" customHeight="true" outlineLevel="0" collapsed="false">
      <c r="A50" s="2"/>
      <c r="B50" s="2"/>
      <c r="C50" s="2"/>
      <c r="D50" s="2"/>
      <c r="E50" s="2"/>
      <c r="F50" s="2"/>
    </row>
    <row r="51" customFormat="false" ht="15.75" hidden="false" customHeight="true" outlineLevel="0" collapsed="false">
      <c r="A51" s="2"/>
      <c r="B51" s="2"/>
      <c r="C51" s="2"/>
      <c r="D51" s="2"/>
      <c r="E51" s="2"/>
      <c r="F51" s="2"/>
    </row>
    <row r="52" customFormat="false" ht="15.75" hidden="false" customHeight="true" outlineLevel="0" collapsed="false">
      <c r="A52" s="2"/>
      <c r="B52" s="2"/>
      <c r="C52" s="2"/>
      <c r="D52" s="2"/>
      <c r="E52" s="2"/>
      <c r="F52" s="2"/>
    </row>
    <row r="53" customFormat="false" ht="15.75" hidden="false" customHeight="true" outlineLevel="0" collapsed="false">
      <c r="A53" s="2"/>
      <c r="B53" s="2"/>
      <c r="C53" s="2"/>
      <c r="D53" s="2"/>
      <c r="E53" s="2"/>
      <c r="F53" s="2"/>
    </row>
    <row r="54" customFormat="false" ht="15.75" hidden="false" customHeight="true" outlineLevel="0" collapsed="false">
      <c r="A54" s="2"/>
      <c r="B54" s="2"/>
      <c r="C54" s="2"/>
      <c r="D54" s="2"/>
      <c r="E54" s="2"/>
      <c r="F54" s="2"/>
    </row>
    <row r="55" customFormat="false" ht="15.75" hidden="false" customHeight="true" outlineLevel="0" collapsed="false">
      <c r="A55" s="2"/>
      <c r="B55" s="2"/>
      <c r="C55" s="2"/>
      <c r="D55" s="2"/>
      <c r="E55" s="2"/>
      <c r="F55" s="2"/>
    </row>
    <row r="56" customFormat="false" ht="15.75" hidden="false" customHeight="true" outlineLevel="0" collapsed="false">
      <c r="A56" s="2"/>
      <c r="B56" s="2"/>
      <c r="C56" s="2"/>
      <c r="D56" s="2"/>
      <c r="E56" s="2"/>
      <c r="F56" s="2"/>
    </row>
    <row r="57" customFormat="false" ht="15.75" hidden="false" customHeight="true" outlineLevel="0" collapsed="false">
      <c r="A57" s="2"/>
      <c r="B57" s="2"/>
      <c r="C57" s="2"/>
      <c r="D57" s="2"/>
      <c r="E57" s="2"/>
      <c r="F57" s="2"/>
    </row>
    <row r="58" customFormat="false" ht="15.75" hidden="false" customHeight="true" outlineLevel="0" collapsed="false">
      <c r="A58" s="2"/>
      <c r="B58" s="2"/>
      <c r="C58" s="2"/>
      <c r="D58" s="2"/>
      <c r="E58" s="2"/>
      <c r="F58" s="2"/>
    </row>
    <row r="59" customFormat="false" ht="15.75" hidden="false" customHeight="true" outlineLevel="0" collapsed="false">
      <c r="A59" s="2"/>
      <c r="B59" s="2"/>
      <c r="C59" s="2"/>
      <c r="D59" s="2"/>
      <c r="E59" s="2"/>
      <c r="F59" s="2"/>
    </row>
    <row r="60" customFormat="false" ht="15.75" hidden="false" customHeight="true" outlineLevel="0" collapsed="false">
      <c r="A60" s="2"/>
      <c r="B60" s="2"/>
      <c r="C60" s="2"/>
      <c r="D60" s="2"/>
      <c r="E60" s="2"/>
      <c r="F60" s="2"/>
    </row>
    <row r="61" customFormat="false" ht="15.75" hidden="false" customHeight="true" outlineLevel="0" collapsed="false">
      <c r="A61" s="2"/>
      <c r="B61" s="2"/>
      <c r="C61" s="2"/>
      <c r="D61" s="2"/>
      <c r="E61" s="2"/>
      <c r="F61" s="2"/>
    </row>
    <row r="62" customFormat="false" ht="15.75" hidden="false" customHeight="true" outlineLevel="0" collapsed="false">
      <c r="A62" s="2"/>
      <c r="B62" s="2"/>
      <c r="C62" s="2"/>
      <c r="D62" s="2"/>
      <c r="E62" s="2"/>
      <c r="F62" s="2"/>
    </row>
    <row r="63" customFormat="false" ht="15.75" hidden="false" customHeight="true" outlineLevel="0" collapsed="false">
      <c r="A63" s="2"/>
      <c r="B63" s="2"/>
      <c r="C63" s="2"/>
      <c r="D63" s="2"/>
      <c r="E63" s="2"/>
      <c r="F63" s="2"/>
    </row>
    <row r="64" customFormat="false" ht="15.75" hidden="false" customHeight="true" outlineLevel="0" collapsed="false">
      <c r="A64" s="2"/>
      <c r="B64" s="2"/>
      <c r="C64" s="2"/>
      <c r="D64" s="2"/>
      <c r="E64" s="2"/>
      <c r="F64" s="2"/>
    </row>
    <row r="65" customFormat="false" ht="15.75" hidden="false" customHeight="true" outlineLevel="0" collapsed="false">
      <c r="A65" s="2"/>
      <c r="B65" s="2"/>
      <c r="C65" s="2"/>
      <c r="D65" s="2"/>
      <c r="E65" s="2"/>
      <c r="F65" s="2"/>
    </row>
    <row r="66" customFormat="false" ht="15.75" hidden="false" customHeight="true" outlineLevel="0" collapsed="false">
      <c r="A66" s="2"/>
      <c r="B66" s="2"/>
      <c r="C66" s="2"/>
      <c r="D66" s="2"/>
      <c r="E66" s="2"/>
      <c r="F66" s="2"/>
    </row>
    <row r="67" customFormat="false" ht="15.75" hidden="false" customHeight="true" outlineLevel="0" collapsed="false">
      <c r="A67" s="2"/>
      <c r="B67" s="2"/>
      <c r="C67" s="2"/>
      <c r="D67" s="2"/>
      <c r="E67" s="2"/>
      <c r="F67" s="2"/>
    </row>
    <row r="68" customFormat="false" ht="15.75" hidden="false" customHeight="true" outlineLevel="0" collapsed="false">
      <c r="A68" s="2"/>
      <c r="B68" s="2"/>
      <c r="C68" s="2"/>
      <c r="D68" s="2"/>
      <c r="E68" s="2"/>
      <c r="F68" s="2"/>
    </row>
    <row r="69" customFormat="false" ht="15.75" hidden="false" customHeight="true" outlineLevel="0" collapsed="false">
      <c r="A69" s="2"/>
      <c r="B69" s="2"/>
      <c r="C69" s="2"/>
      <c r="D69" s="2"/>
      <c r="E69" s="2"/>
      <c r="F69" s="2"/>
    </row>
    <row r="70" customFormat="false" ht="15.75" hidden="false" customHeight="true" outlineLevel="0" collapsed="false">
      <c r="A70" s="2"/>
      <c r="B70" s="2"/>
      <c r="C70" s="2"/>
      <c r="D70" s="2"/>
      <c r="E70" s="2"/>
      <c r="F70" s="2"/>
    </row>
    <row r="71" customFormat="false" ht="15.75" hidden="false" customHeight="true" outlineLevel="0" collapsed="false">
      <c r="A71" s="2"/>
      <c r="B71" s="2"/>
      <c r="C71" s="2"/>
      <c r="D71" s="2"/>
      <c r="E71" s="2"/>
      <c r="F71" s="2"/>
    </row>
    <row r="72" customFormat="false" ht="15.75" hidden="false" customHeight="true" outlineLevel="0" collapsed="false">
      <c r="A72" s="2"/>
      <c r="B72" s="2"/>
      <c r="C72" s="2"/>
      <c r="D72" s="2"/>
      <c r="E72" s="2"/>
      <c r="F72" s="2"/>
    </row>
    <row r="73" customFormat="false" ht="15.75" hidden="false" customHeight="true" outlineLevel="0" collapsed="false">
      <c r="A73" s="2"/>
      <c r="B73" s="2"/>
      <c r="C73" s="2"/>
      <c r="D73" s="2"/>
      <c r="E73" s="2"/>
      <c r="F73" s="2"/>
    </row>
    <row r="74" customFormat="false" ht="15.75" hidden="false" customHeight="true" outlineLevel="0" collapsed="false">
      <c r="A74" s="2"/>
      <c r="B74" s="2"/>
      <c r="C74" s="2"/>
      <c r="D74" s="2"/>
      <c r="E74" s="2"/>
      <c r="F74" s="2"/>
    </row>
    <row r="75" customFormat="false" ht="15.75" hidden="false" customHeight="true" outlineLevel="0" collapsed="false">
      <c r="A75" s="2"/>
      <c r="B75" s="2"/>
      <c r="C75" s="2"/>
      <c r="D75" s="2"/>
      <c r="E75" s="2"/>
      <c r="F75" s="2"/>
    </row>
    <row r="76" customFormat="false" ht="15.75" hidden="false" customHeight="true" outlineLevel="0" collapsed="false">
      <c r="A76" s="2"/>
      <c r="B76" s="2"/>
      <c r="C76" s="2"/>
      <c r="D76" s="2"/>
      <c r="E76" s="2"/>
      <c r="F76" s="2"/>
    </row>
    <row r="77" customFormat="false" ht="15.75" hidden="false" customHeight="true" outlineLevel="0" collapsed="false">
      <c r="A77" s="2"/>
      <c r="B77" s="2"/>
      <c r="C77" s="2"/>
      <c r="D77" s="2"/>
      <c r="E77" s="2"/>
      <c r="F77" s="2"/>
    </row>
    <row r="78" customFormat="false" ht="15.75" hidden="false" customHeight="true" outlineLevel="0" collapsed="false">
      <c r="A78" s="2"/>
      <c r="B78" s="2"/>
      <c r="C78" s="2"/>
      <c r="D78" s="2"/>
      <c r="E78" s="2"/>
      <c r="F78" s="2"/>
    </row>
    <row r="79" customFormat="false" ht="15.75" hidden="false" customHeight="true" outlineLevel="0" collapsed="false">
      <c r="A79" s="2"/>
      <c r="B79" s="2"/>
      <c r="C79" s="2"/>
      <c r="D79" s="2"/>
      <c r="E79" s="2"/>
      <c r="F79" s="2"/>
    </row>
    <row r="80" customFormat="false" ht="15.75" hidden="false" customHeight="true" outlineLevel="0" collapsed="false">
      <c r="A80" s="2"/>
      <c r="B80" s="2"/>
      <c r="C80" s="2"/>
      <c r="D80" s="2"/>
      <c r="E80" s="2"/>
      <c r="F80" s="2"/>
    </row>
    <row r="81" customFormat="false" ht="15.75" hidden="false" customHeight="true" outlineLevel="0" collapsed="false">
      <c r="A81" s="2"/>
      <c r="B81" s="2"/>
      <c r="C81" s="2"/>
      <c r="D81" s="2"/>
      <c r="E81" s="2"/>
      <c r="F81" s="2"/>
    </row>
    <row r="82" customFormat="false" ht="15.75" hidden="false" customHeight="true" outlineLevel="0" collapsed="false">
      <c r="A82" s="2"/>
      <c r="B82" s="2"/>
      <c r="C82" s="2"/>
      <c r="D82" s="2"/>
      <c r="E82" s="2"/>
      <c r="F82" s="2"/>
    </row>
    <row r="83" customFormat="false" ht="15.75" hidden="false" customHeight="true" outlineLevel="0" collapsed="false">
      <c r="A83" s="2"/>
      <c r="B83" s="2"/>
      <c r="C83" s="2"/>
      <c r="D83" s="2"/>
      <c r="E83" s="2"/>
      <c r="F83" s="2"/>
    </row>
    <row r="84" customFormat="false" ht="15.75" hidden="false" customHeight="true" outlineLevel="0" collapsed="false">
      <c r="A84" s="2"/>
      <c r="B84" s="2"/>
      <c r="C84" s="2"/>
      <c r="D84" s="2"/>
      <c r="E84" s="2"/>
      <c r="F84" s="2"/>
    </row>
    <row r="85" customFormat="false" ht="15.75" hidden="false" customHeight="true" outlineLevel="0" collapsed="false">
      <c r="A85" s="2"/>
      <c r="B85" s="2"/>
      <c r="C85" s="2"/>
      <c r="D85" s="2"/>
      <c r="E85" s="2"/>
      <c r="F85" s="2"/>
    </row>
    <row r="86" customFormat="false" ht="15.75" hidden="false" customHeight="true" outlineLevel="0" collapsed="false">
      <c r="A86" s="2"/>
      <c r="B86" s="2"/>
      <c r="C86" s="2"/>
      <c r="D86" s="2"/>
      <c r="E86" s="2"/>
      <c r="F86" s="2"/>
    </row>
    <row r="87" customFormat="false" ht="15.75" hidden="false" customHeight="true" outlineLevel="0" collapsed="false">
      <c r="A87" s="2"/>
      <c r="B87" s="2"/>
      <c r="C87" s="2"/>
      <c r="D87" s="2"/>
      <c r="E87" s="2"/>
      <c r="F87" s="2"/>
    </row>
    <row r="88" customFormat="false" ht="15.75" hidden="false" customHeight="true" outlineLevel="0" collapsed="false">
      <c r="A88" s="2"/>
      <c r="B88" s="2"/>
      <c r="C88" s="2"/>
      <c r="D88" s="2"/>
      <c r="E88" s="2"/>
      <c r="F88" s="2"/>
    </row>
    <row r="89" customFormat="false" ht="15.75" hidden="false" customHeight="true" outlineLevel="0" collapsed="false">
      <c r="A89" s="2"/>
      <c r="B89" s="2"/>
      <c r="C89" s="2"/>
      <c r="D89" s="2"/>
      <c r="E89" s="2"/>
      <c r="F89" s="2"/>
    </row>
    <row r="90" customFormat="false" ht="15.75" hidden="false" customHeight="true" outlineLevel="0" collapsed="false">
      <c r="A90" s="2"/>
      <c r="B90" s="2"/>
      <c r="C90" s="2"/>
      <c r="D90" s="2"/>
      <c r="E90" s="2"/>
      <c r="F90" s="2"/>
    </row>
    <row r="91" customFormat="false" ht="15.75" hidden="false" customHeight="true" outlineLevel="0" collapsed="false">
      <c r="A91" s="2"/>
      <c r="B91" s="2"/>
      <c r="C91" s="2"/>
      <c r="D91" s="2"/>
      <c r="E91" s="2"/>
      <c r="F91" s="2"/>
    </row>
    <row r="92" customFormat="false" ht="15.75" hidden="false" customHeight="true" outlineLevel="0" collapsed="false">
      <c r="A92" s="2"/>
      <c r="B92" s="2"/>
      <c r="C92" s="2"/>
      <c r="D92" s="2"/>
      <c r="E92" s="2"/>
      <c r="F92" s="2"/>
    </row>
    <row r="93" customFormat="false" ht="15.75" hidden="false" customHeight="true" outlineLevel="0" collapsed="false">
      <c r="A93" s="2"/>
      <c r="B93" s="2"/>
      <c r="C93" s="2"/>
      <c r="D93" s="2"/>
      <c r="E93" s="2"/>
      <c r="F93" s="2"/>
    </row>
    <row r="94" customFormat="false" ht="15.75" hidden="false" customHeight="true" outlineLevel="0" collapsed="false">
      <c r="A94" s="2"/>
      <c r="B94" s="2"/>
      <c r="C94" s="2"/>
      <c r="D94" s="2"/>
      <c r="E94" s="2"/>
      <c r="F94" s="2"/>
    </row>
    <row r="95" customFormat="false" ht="15.75" hidden="false" customHeight="true" outlineLevel="0" collapsed="false">
      <c r="A95" s="2"/>
      <c r="B95" s="2"/>
      <c r="C95" s="2"/>
      <c r="D95" s="2"/>
      <c r="E95" s="2"/>
      <c r="F95" s="2"/>
    </row>
    <row r="96" customFormat="false" ht="15.75" hidden="false" customHeight="true" outlineLevel="0" collapsed="false">
      <c r="A96" s="2"/>
      <c r="B96" s="2"/>
      <c r="C96" s="2"/>
      <c r="D96" s="2"/>
      <c r="E96" s="2"/>
      <c r="F96" s="2"/>
    </row>
    <row r="97" customFormat="false" ht="15.75" hidden="false" customHeight="true" outlineLevel="0" collapsed="false">
      <c r="A97" s="2"/>
      <c r="B97" s="2"/>
      <c r="C97" s="2"/>
      <c r="D97" s="2"/>
      <c r="E97" s="2"/>
      <c r="F97" s="2"/>
    </row>
    <row r="98" customFormat="false" ht="15.75" hidden="false" customHeight="true" outlineLevel="0" collapsed="false">
      <c r="A98" s="2"/>
      <c r="B98" s="2"/>
      <c r="C98" s="2"/>
      <c r="D98" s="2"/>
      <c r="E98" s="2"/>
      <c r="F98" s="2"/>
    </row>
    <row r="99" customFormat="false" ht="15.75" hidden="false" customHeight="true" outlineLevel="0" collapsed="false">
      <c r="A99" s="2"/>
      <c r="B99" s="2"/>
      <c r="C99" s="2"/>
      <c r="D99" s="2"/>
      <c r="E99" s="2"/>
      <c r="F99" s="2"/>
    </row>
    <row r="100" customFormat="false" ht="15.75" hidden="false" customHeight="true" outlineLevel="0" collapsed="false">
      <c r="A100" s="2"/>
      <c r="B100" s="2"/>
      <c r="C100" s="2"/>
      <c r="D100" s="2"/>
      <c r="E100" s="2"/>
      <c r="F100" s="2"/>
    </row>
    <row r="101" customFormat="false" ht="15.75" hidden="false" customHeight="true" outlineLevel="0" collapsed="false">
      <c r="A101" s="2"/>
      <c r="B101" s="2"/>
      <c r="C101" s="2"/>
      <c r="D101" s="2"/>
      <c r="E101" s="2"/>
      <c r="F101" s="2"/>
    </row>
    <row r="102" customFormat="false" ht="15.75" hidden="false" customHeight="true" outlineLevel="0" collapsed="false">
      <c r="A102" s="2"/>
      <c r="B102" s="2"/>
      <c r="C102" s="2"/>
      <c r="D102" s="2"/>
      <c r="E102" s="2"/>
      <c r="F102" s="2"/>
    </row>
    <row r="103" customFormat="false" ht="15.75" hidden="false" customHeight="true" outlineLevel="0" collapsed="false">
      <c r="A103" s="2"/>
      <c r="B103" s="2"/>
      <c r="C103" s="2"/>
      <c r="D103" s="2"/>
      <c r="E103" s="2"/>
      <c r="F103" s="2"/>
    </row>
    <row r="104" customFormat="false" ht="15.75" hidden="false" customHeight="true" outlineLevel="0" collapsed="false">
      <c r="A104" s="2"/>
      <c r="B104" s="2"/>
      <c r="C104" s="2"/>
      <c r="D104" s="2"/>
      <c r="E104" s="2"/>
      <c r="F104" s="2"/>
    </row>
    <row r="105" customFormat="false" ht="15.75" hidden="false" customHeight="true" outlineLevel="0" collapsed="false">
      <c r="A105" s="2"/>
      <c r="B105" s="2"/>
      <c r="C105" s="2"/>
      <c r="D105" s="2"/>
      <c r="E105" s="2"/>
      <c r="F105" s="2"/>
    </row>
    <row r="106" customFormat="false" ht="15.75" hidden="false" customHeight="true" outlineLevel="0" collapsed="false">
      <c r="A106" s="2"/>
      <c r="B106" s="2"/>
      <c r="C106" s="2"/>
      <c r="D106" s="2"/>
      <c r="E106" s="2"/>
      <c r="F106" s="2"/>
    </row>
    <row r="107" customFormat="false" ht="15.75" hidden="false" customHeight="true" outlineLevel="0" collapsed="false">
      <c r="A107" s="2"/>
      <c r="B107" s="2"/>
      <c r="C107" s="2"/>
      <c r="D107" s="2"/>
      <c r="E107" s="2"/>
      <c r="F107" s="2"/>
    </row>
    <row r="108" customFormat="false" ht="15.75" hidden="false" customHeight="true" outlineLevel="0" collapsed="false">
      <c r="A108" s="2"/>
      <c r="B108" s="2"/>
      <c r="C108" s="2"/>
      <c r="D108" s="2"/>
      <c r="E108" s="2"/>
      <c r="F108" s="2"/>
    </row>
    <row r="109" customFormat="false" ht="15.75" hidden="false" customHeight="true" outlineLevel="0" collapsed="false">
      <c r="A109" s="2"/>
      <c r="B109" s="2"/>
      <c r="C109" s="2"/>
      <c r="D109" s="2"/>
      <c r="E109" s="2"/>
      <c r="F109" s="2"/>
    </row>
    <row r="110" customFormat="false" ht="15.75" hidden="false" customHeight="true" outlineLevel="0" collapsed="false">
      <c r="A110" s="2"/>
      <c r="B110" s="2"/>
      <c r="C110" s="2"/>
      <c r="D110" s="2"/>
      <c r="E110" s="2"/>
      <c r="F110" s="2"/>
    </row>
    <row r="111" customFormat="false" ht="15.75" hidden="false" customHeight="true" outlineLevel="0" collapsed="false">
      <c r="A111" s="2"/>
      <c r="B111" s="2"/>
      <c r="C111" s="2"/>
      <c r="D111" s="2"/>
      <c r="E111" s="2"/>
      <c r="F111" s="2"/>
    </row>
    <row r="112" customFormat="false" ht="15.75" hidden="false" customHeight="true" outlineLevel="0" collapsed="false">
      <c r="A112" s="2"/>
      <c r="B112" s="2"/>
      <c r="C112" s="2"/>
      <c r="D112" s="2"/>
      <c r="E112" s="2"/>
      <c r="F112" s="2"/>
    </row>
    <row r="113" customFormat="false" ht="15.75" hidden="false" customHeight="true" outlineLevel="0" collapsed="false">
      <c r="A113" s="2"/>
      <c r="B113" s="2"/>
      <c r="C113" s="2"/>
      <c r="D113" s="2"/>
      <c r="E113" s="2"/>
      <c r="F113" s="2"/>
    </row>
    <row r="114" customFormat="false" ht="15.75" hidden="false" customHeight="true" outlineLevel="0" collapsed="false">
      <c r="A114" s="2"/>
      <c r="B114" s="2"/>
      <c r="C114" s="2"/>
      <c r="D114" s="2"/>
      <c r="E114" s="2"/>
      <c r="F114" s="2"/>
    </row>
    <row r="115" customFormat="false" ht="15.75" hidden="false" customHeight="true" outlineLevel="0" collapsed="false">
      <c r="A115" s="2"/>
      <c r="B115" s="2"/>
      <c r="C115" s="2"/>
      <c r="D115" s="2"/>
      <c r="E115" s="2"/>
      <c r="F115" s="2"/>
    </row>
    <row r="116" customFormat="false" ht="15.75" hidden="false" customHeight="true" outlineLevel="0" collapsed="false">
      <c r="A116" s="2"/>
      <c r="B116" s="2"/>
      <c r="C116" s="2"/>
      <c r="D116" s="2"/>
      <c r="E116" s="2"/>
      <c r="F116" s="2"/>
    </row>
    <row r="117" customFormat="false" ht="15.75" hidden="false" customHeight="true" outlineLevel="0" collapsed="false">
      <c r="A117" s="2"/>
      <c r="B117" s="2"/>
      <c r="C117" s="2"/>
      <c r="D117" s="2"/>
      <c r="E117" s="2"/>
      <c r="F117" s="2"/>
    </row>
    <row r="118" customFormat="false" ht="15.75" hidden="false" customHeight="true" outlineLevel="0" collapsed="false">
      <c r="A118" s="2"/>
      <c r="B118" s="2"/>
      <c r="C118" s="2"/>
      <c r="D118" s="2"/>
      <c r="E118" s="2"/>
      <c r="F118" s="2"/>
    </row>
    <row r="119" customFormat="false" ht="15.75" hidden="false" customHeight="true" outlineLevel="0" collapsed="false">
      <c r="A119" s="2"/>
      <c r="B119" s="2"/>
      <c r="C119" s="2"/>
      <c r="D119" s="2"/>
      <c r="E119" s="2"/>
      <c r="F119" s="2"/>
    </row>
    <row r="120" customFormat="false" ht="15.75" hidden="false" customHeight="true" outlineLevel="0" collapsed="false">
      <c r="A120" s="2"/>
      <c r="B120" s="2"/>
      <c r="C120" s="2"/>
      <c r="D120" s="2"/>
      <c r="E120" s="2"/>
      <c r="F120" s="2"/>
    </row>
    <row r="121" customFormat="false" ht="15.75" hidden="false" customHeight="true" outlineLevel="0" collapsed="false">
      <c r="A121" s="2"/>
      <c r="B121" s="2"/>
      <c r="C121" s="2"/>
      <c r="D121" s="2"/>
      <c r="E121" s="2"/>
      <c r="F121" s="2"/>
    </row>
    <row r="122" customFormat="false" ht="15.75" hidden="false" customHeight="true" outlineLevel="0" collapsed="false">
      <c r="A122" s="2"/>
      <c r="B122" s="2"/>
      <c r="C122" s="2"/>
      <c r="D122" s="2"/>
      <c r="E122" s="2"/>
      <c r="F122" s="2"/>
    </row>
    <row r="123" customFormat="false" ht="15.75" hidden="false" customHeight="true" outlineLevel="0" collapsed="false">
      <c r="A123" s="2"/>
      <c r="B123" s="2"/>
      <c r="C123" s="2"/>
      <c r="D123" s="2"/>
      <c r="E123" s="2"/>
      <c r="F123" s="2"/>
    </row>
    <row r="124" customFormat="false" ht="15.75" hidden="false" customHeight="true" outlineLevel="0" collapsed="false">
      <c r="A124" s="2"/>
      <c r="B124" s="2"/>
      <c r="C124" s="2"/>
      <c r="D124" s="2"/>
      <c r="E124" s="2"/>
      <c r="F124" s="2"/>
    </row>
    <row r="125" customFormat="false" ht="15.75" hidden="false" customHeight="true" outlineLevel="0" collapsed="false">
      <c r="A125" s="2"/>
      <c r="B125" s="2"/>
      <c r="C125" s="2"/>
      <c r="D125" s="2"/>
      <c r="E125" s="2"/>
      <c r="F125" s="2"/>
    </row>
    <row r="126" customFormat="false" ht="15.75" hidden="false" customHeight="true" outlineLevel="0" collapsed="false">
      <c r="A126" s="2"/>
      <c r="B126" s="2"/>
      <c r="C126" s="2"/>
      <c r="D126" s="2"/>
      <c r="E126" s="2"/>
      <c r="F126" s="2"/>
    </row>
    <row r="127" customFormat="false" ht="15.75" hidden="false" customHeight="true" outlineLevel="0" collapsed="false">
      <c r="A127" s="2"/>
      <c r="B127" s="2"/>
      <c r="C127" s="2"/>
      <c r="D127" s="2"/>
      <c r="E127" s="2"/>
      <c r="F127" s="2"/>
    </row>
    <row r="128" customFormat="false" ht="15.75" hidden="false" customHeight="true" outlineLevel="0" collapsed="false">
      <c r="A128" s="2"/>
      <c r="B128" s="2"/>
      <c r="C128" s="2"/>
      <c r="D128" s="2"/>
      <c r="E128" s="2"/>
      <c r="F128" s="2"/>
    </row>
    <row r="129" customFormat="false" ht="15.75" hidden="false" customHeight="true" outlineLevel="0" collapsed="false">
      <c r="A129" s="2"/>
      <c r="B129" s="2"/>
      <c r="C129" s="2"/>
      <c r="D129" s="2"/>
      <c r="E129" s="2"/>
      <c r="F129" s="2"/>
    </row>
    <row r="130" customFormat="false" ht="15.75" hidden="false" customHeight="true" outlineLevel="0" collapsed="false">
      <c r="A130" s="2"/>
      <c r="B130" s="2"/>
      <c r="C130" s="2"/>
      <c r="D130" s="2"/>
      <c r="E130" s="2"/>
      <c r="F130" s="2"/>
    </row>
    <row r="131" customFormat="false" ht="15.75" hidden="false" customHeight="true" outlineLevel="0" collapsed="false">
      <c r="A131" s="2"/>
      <c r="B131" s="2"/>
      <c r="C131" s="2"/>
      <c r="D131" s="2"/>
      <c r="E131" s="2"/>
      <c r="F131" s="2"/>
    </row>
    <row r="132" customFormat="false" ht="15.75" hidden="false" customHeight="true" outlineLevel="0" collapsed="false">
      <c r="A132" s="2"/>
      <c r="B132" s="2"/>
      <c r="C132" s="2"/>
      <c r="D132" s="2"/>
      <c r="E132" s="2"/>
      <c r="F132" s="2"/>
    </row>
    <row r="133" customFormat="false" ht="15.75" hidden="false" customHeight="true" outlineLevel="0" collapsed="false">
      <c r="A133" s="2"/>
      <c r="B133" s="2"/>
      <c r="C133" s="2"/>
      <c r="D133" s="2"/>
      <c r="E133" s="2"/>
      <c r="F133" s="2"/>
    </row>
    <row r="134" customFormat="false" ht="15.75" hidden="false" customHeight="true" outlineLevel="0" collapsed="false">
      <c r="A134" s="2"/>
      <c r="B134" s="2"/>
      <c r="C134" s="2"/>
      <c r="D134" s="2"/>
      <c r="E134" s="2"/>
      <c r="F134" s="2"/>
    </row>
    <row r="135" customFormat="false" ht="15.75" hidden="false" customHeight="true" outlineLevel="0" collapsed="false">
      <c r="A135" s="2"/>
      <c r="B135" s="2"/>
      <c r="C135" s="2"/>
      <c r="D135" s="2"/>
      <c r="E135" s="2"/>
      <c r="F135" s="2"/>
    </row>
    <row r="136" customFormat="false" ht="15.75" hidden="false" customHeight="true" outlineLevel="0" collapsed="false">
      <c r="A136" s="2"/>
      <c r="B136" s="2"/>
      <c r="C136" s="2"/>
      <c r="D136" s="2"/>
      <c r="E136" s="2"/>
      <c r="F136" s="2"/>
    </row>
    <row r="137" customFormat="false" ht="15.75" hidden="false" customHeight="true" outlineLevel="0" collapsed="false">
      <c r="A137" s="2"/>
      <c r="B137" s="2"/>
      <c r="C137" s="2"/>
      <c r="D137" s="2"/>
      <c r="E137" s="2"/>
      <c r="F137" s="2"/>
    </row>
    <row r="138" customFormat="false" ht="15.75" hidden="false" customHeight="true" outlineLevel="0" collapsed="false">
      <c r="A138" s="2"/>
      <c r="B138" s="2"/>
      <c r="C138" s="2"/>
      <c r="D138" s="2"/>
      <c r="E138" s="2"/>
      <c r="F138" s="2"/>
    </row>
    <row r="139" customFormat="false" ht="15.75" hidden="false" customHeight="true" outlineLevel="0" collapsed="false">
      <c r="A139" s="2"/>
      <c r="B139" s="2"/>
      <c r="C139" s="2"/>
      <c r="D139" s="2"/>
      <c r="E139" s="2"/>
      <c r="F139" s="2"/>
    </row>
    <row r="140" customFormat="false" ht="15.75" hidden="false" customHeight="true" outlineLevel="0" collapsed="false">
      <c r="A140" s="2"/>
      <c r="B140" s="2"/>
      <c r="C140" s="2"/>
      <c r="D140" s="2"/>
      <c r="E140" s="2"/>
      <c r="F140" s="2"/>
    </row>
    <row r="141" customFormat="false" ht="15.75" hidden="false" customHeight="true" outlineLevel="0" collapsed="false">
      <c r="A141" s="2"/>
      <c r="B141" s="2"/>
      <c r="C141" s="2"/>
      <c r="D141" s="2"/>
      <c r="E141" s="2"/>
      <c r="F141" s="2"/>
    </row>
    <row r="142" customFormat="false" ht="15.75" hidden="false" customHeight="true" outlineLevel="0" collapsed="false">
      <c r="A142" s="2"/>
      <c r="B142" s="2"/>
      <c r="C142" s="2"/>
      <c r="D142" s="2"/>
      <c r="E142" s="2"/>
      <c r="F142" s="2"/>
    </row>
    <row r="143" customFormat="false" ht="15.75" hidden="false" customHeight="true" outlineLevel="0" collapsed="false">
      <c r="A143" s="2"/>
      <c r="B143" s="2"/>
      <c r="C143" s="2"/>
      <c r="D143" s="2"/>
      <c r="E143" s="2"/>
      <c r="F143" s="2"/>
    </row>
    <row r="144" customFormat="false" ht="15.75" hidden="false" customHeight="true" outlineLevel="0" collapsed="false">
      <c r="A144" s="2"/>
      <c r="B144" s="2"/>
      <c r="C144" s="2"/>
      <c r="D144" s="2"/>
      <c r="E144" s="2"/>
      <c r="F144" s="2"/>
    </row>
    <row r="145" customFormat="false" ht="15.75" hidden="false" customHeight="true" outlineLevel="0" collapsed="false">
      <c r="A145" s="2"/>
      <c r="B145" s="2"/>
      <c r="C145" s="2"/>
      <c r="D145" s="2"/>
      <c r="E145" s="2"/>
      <c r="F145" s="2"/>
    </row>
    <row r="146" customFormat="false" ht="15.75" hidden="false" customHeight="true" outlineLevel="0" collapsed="false">
      <c r="A146" s="2"/>
      <c r="B146" s="2"/>
      <c r="C146" s="2"/>
      <c r="D146" s="2"/>
      <c r="E146" s="2"/>
      <c r="F146" s="2"/>
    </row>
    <row r="147" customFormat="false" ht="15.75" hidden="false" customHeight="true" outlineLevel="0" collapsed="false">
      <c r="A147" s="2"/>
      <c r="B147" s="2"/>
      <c r="C147" s="2"/>
      <c r="D147" s="2"/>
      <c r="E147" s="2"/>
      <c r="F147" s="2"/>
    </row>
    <row r="148" customFormat="false" ht="15.75" hidden="false" customHeight="true" outlineLevel="0" collapsed="false">
      <c r="A148" s="2"/>
      <c r="B148" s="2"/>
      <c r="C148" s="2"/>
      <c r="D148" s="2"/>
      <c r="E148" s="2"/>
      <c r="F148" s="2"/>
    </row>
    <row r="149" customFormat="false" ht="15.75" hidden="false" customHeight="true" outlineLevel="0" collapsed="false">
      <c r="A149" s="2"/>
      <c r="B149" s="2"/>
      <c r="C149" s="2"/>
      <c r="D149" s="2"/>
      <c r="E149" s="2"/>
      <c r="F149" s="2"/>
    </row>
    <row r="150" customFormat="false" ht="15.75" hidden="false" customHeight="true" outlineLevel="0" collapsed="false">
      <c r="A150" s="2"/>
      <c r="B150" s="2"/>
      <c r="C150" s="2"/>
      <c r="D150" s="2"/>
      <c r="E150" s="2"/>
      <c r="F150" s="2"/>
    </row>
    <row r="151" customFormat="false" ht="15.75" hidden="false" customHeight="true" outlineLevel="0" collapsed="false">
      <c r="A151" s="2"/>
      <c r="B151" s="2"/>
      <c r="C151" s="2"/>
      <c r="D151" s="2"/>
      <c r="E151" s="2"/>
      <c r="F151" s="2"/>
    </row>
    <row r="152" customFormat="false" ht="15.75" hidden="false" customHeight="true" outlineLevel="0" collapsed="false">
      <c r="A152" s="2"/>
      <c r="B152" s="2"/>
      <c r="C152" s="2"/>
      <c r="D152" s="2"/>
      <c r="E152" s="2"/>
      <c r="F152" s="2"/>
    </row>
    <row r="153" customFormat="false" ht="15.75" hidden="false" customHeight="true" outlineLevel="0" collapsed="false">
      <c r="A153" s="2"/>
      <c r="B153" s="2"/>
      <c r="C153" s="2"/>
      <c r="D153" s="2"/>
      <c r="E153" s="2"/>
      <c r="F153" s="2"/>
    </row>
    <row r="154" customFormat="false" ht="15.75" hidden="false" customHeight="true" outlineLevel="0" collapsed="false">
      <c r="A154" s="2"/>
      <c r="B154" s="2"/>
      <c r="C154" s="2"/>
      <c r="D154" s="2"/>
      <c r="E154" s="2"/>
      <c r="F154" s="2"/>
    </row>
    <row r="155" customFormat="false" ht="15.75" hidden="false" customHeight="true" outlineLevel="0" collapsed="false">
      <c r="A155" s="2"/>
      <c r="B155" s="2"/>
      <c r="C155" s="2"/>
      <c r="D155" s="2"/>
      <c r="E155" s="2"/>
      <c r="F155" s="2"/>
    </row>
    <row r="156" customFormat="false" ht="15.75" hidden="false" customHeight="true" outlineLevel="0" collapsed="false">
      <c r="A156" s="2"/>
      <c r="B156" s="2"/>
      <c r="C156" s="2"/>
      <c r="D156" s="2"/>
      <c r="E156" s="2"/>
      <c r="F156" s="2"/>
    </row>
    <row r="157" customFormat="false" ht="15.75" hidden="false" customHeight="true" outlineLevel="0" collapsed="false">
      <c r="A157" s="2"/>
      <c r="B157" s="2"/>
      <c r="C157" s="2"/>
      <c r="D157" s="2"/>
      <c r="E157" s="2"/>
      <c r="F157" s="2"/>
    </row>
    <row r="158" customFormat="false" ht="15.75" hidden="false" customHeight="true" outlineLevel="0" collapsed="false">
      <c r="A158" s="2"/>
      <c r="B158" s="2"/>
      <c r="C158" s="2"/>
      <c r="D158" s="2"/>
      <c r="E158" s="2"/>
      <c r="F158" s="2"/>
    </row>
    <row r="159" customFormat="false" ht="15.75" hidden="false" customHeight="true" outlineLevel="0" collapsed="false">
      <c r="A159" s="2"/>
      <c r="B159" s="2"/>
      <c r="C159" s="2"/>
      <c r="D159" s="2"/>
      <c r="E159" s="2"/>
      <c r="F159" s="2"/>
    </row>
    <row r="160" customFormat="false" ht="15.75" hidden="false" customHeight="true" outlineLevel="0" collapsed="false">
      <c r="A160" s="2"/>
      <c r="B160" s="2"/>
      <c r="C160" s="2"/>
      <c r="D160" s="2"/>
      <c r="E160" s="2"/>
      <c r="F160" s="2"/>
    </row>
    <row r="161" customFormat="false" ht="15.75" hidden="false" customHeight="true" outlineLevel="0" collapsed="false">
      <c r="A161" s="2"/>
      <c r="B161" s="2"/>
      <c r="C161" s="2"/>
      <c r="D161" s="2"/>
      <c r="E161" s="2"/>
      <c r="F161" s="2"/>
    </row>
    <row r="162" customFormat="false" ht="15.75" hidden="false" customHeight="true" outlineLevel="0" collapsed="false">
      <c r="A162" s="2"/>
      <c r="B162" s="2"/>
      <c r="C162" s="2"/>
      <c r="D162" s="2"/>
      <c r="E162" s="2"/>
      <c r="F162" s="2"/>
    </row>
    <row r="163" customFormat="false" ht="15.75" hidden="false" customHeight="true" outlineLevel="0" collapsed="false">
      <c r="A163" s="2"/>
      <c r="B163" s="2"/>
      <c r="C163" s="2"/>
      <c r="D163" s="2"/>
      <c r="E163" s="2"/>
      <c r="F163" s="2"/>
    </row>
    <row r="164" customFormat="false" ht="15.75" hidden="false" customHeight="true" outlineLevel="0" collapsed="false">
      <c r="A164" s="2"/>
      <c r="B164" s="2"/>
      <c r="C164" s="2"/>
      <c r="D164" s="2"/>
      <c r="E164" s="2"/>
      <c r="F164" s="2"/>
    </row>
    <row r="165" customFormat="false" ht="15.75" hidden="false" customHeight="true" outlineLevel="0" collapsed="false">
      <c r="A165" s="2"/>
      <c r="B165" s="2"/>
      <c r="C165" s="2"/>
      <c r="D165" s="2"/>
      <c r="E165" s="2"/>
      <c r="F165" s="2"/>
    </row>
    <row r="166" customFormat="false" ht="15.75" hidden="false" customHeight="true" outlineLevel="0" collapsed="false">
      <c r="A166" s="2"/>
      <c r="B166" s="2"/>
      <c r="C166" s="2"/>
      <c r="D166" s="2"/>
      <c r="E166" s="2"/>
      <c r="F166" s="2"/>
    </row>
    <row r="167" customFormat="false" ht="15.75" hidden="false" customHeight="true" outlineLevel="0" collapsed="false">
      <c r="A167" s="2"/>
      <c r="B167" s="2"/>
      <c r="C167" s="2"/>
      <c r="D167" s="2"/>
      <c r="E167" s="2"/>
      <c r="F167" s="2"/>
    </row>
    <row r="168" customFormat="false" ht="15.75" hidden="false" customHeight="true" outlineLevel="0" collapsed="false">
      <c r="A168" s="2"/>
      <c r="B168" s="2"/>
      <c r="C168" s="2"/>
      <c r="D168" s="2"/>
      <c r="E168" s="2"/>
      <c r="F168" s="2"/>
    </row>
    <row r="169" customFormat="false" ht="15.75" hidden="false" customHeight="true" outlineLevel="0" collapsed="false">
      <c r="A169" s="2"/>
      <c r="B169" s="2"/>
      <c r="C169" s="2"/>
      <c r="D169" s="2"/>
      <c r="E169" s="2"/>
      <c r="F169" s="2"/>
    </row>
    <row r="170" customFormat="false" ht="15.75" hidden="false" customHeight="true" outlineLevel="0" collapsed="false">
      <c r="A170" s="2"/>
      <c r="B170" s="2"/>
      <c r="C170" s="2"/>
      <c r="D170" s="2"/>
      <c r="E170" s="2"/>
      <c r="F170" s="2"/>
    </row>
    <row r="171" customFormat="false" ht="15.75" hidden="false" customHeight="true" outlineLevel="0" collapsed="false">
      <c r="A171" s="2"/>
      <c r="B171" s="2"/>
      <c r="C171" s="2"/>
      <c r="D171" s="2"/>
      <c r="E171" s="2"/>
      <c r="F171" s="2"/>
    </row>
    <row r="172" customFormat="false" ht="15.75" hidden="false" customHeight="true" outlineLevel="0" collapsed="false">
      <c r="A172" s="2"/>
      <c r="B172" s="2"/>
      <c r="C172" s="2"/>
      <c r="D172" s="2"/>
      <c r="E172" s="2"/>
      <c r="F172" s="2"/>
    </row>
    <row r="173" customFormat="false" ht="15.75" hidden="false" customHeight="true" outlineLevel="0" collapsed="false">
      <c r="A173" s="2"/>
      <c r="B173" s="2"/>
      <c r="C173" s="2"/>
      <c r="D173" s="2"/>
      <c r="E173" s="2"/>
      <c r="F173" s="2"/>
    </row>
    <row r="174" customFormat="false" ht="15.75" hidden="false" customHeight="true" outlineLevel="0" collapsed="false">
      <c r="A174" s="2"/>
      <c r="B174" s="2"/>
      <c r="C174" s="2"/>
      <c r="D174" s="2"/>
      <c r="E174" s="2"/>
      <c r="F174" s="2"/>
    </row>
    <row r="175" customFormat="false" ht="15.75" hidden="false" customHeight="true" outlineLevel="0" collapsed="false">
      <c r="A175" s="2"/>
      <c r="B175" s="2"/>
      <c r="C175" s="2"/>
      <c r="D175" s="2"/>
      <c r="E175" s="2"/>
      <c r="F175" s="2"/>
    </row>
    <row r="176" customFormat="false" ht="15.75" hidden="false" customHeight="true" outlineLevel="0" collapsed="false">
      <c r="A176" s="2"/>
      <c r="B176" s="2"/>
      <c r="C176" s="2"/>
      <c r="D176" s="2"/>
      <c r="E176" s="2"/>
      <c r="F176" s="2"/>
    </row>
    <row r="177" customFormat="false" ht="15.75" hidden="false" customHeight="true" outlineLevel="0" collapsed="false">
      <c r="A177" s="2"/>
      <c r="B177" s="2"/>
      <c r="C177" s="2"/>
      <c r="D177" s="2"/>
      <c r="E177" s="2"/>
      <c r="F177" s="2"/>
    </row>
    <row r="178" customFormat="false" ht="15.75" hidden="false" customHeight="true" outlineLevel="0" collapsed="false">
      <c r="A178" s="2"/>
      <c r="B178" s="2"/>
      <c r="C178" s="2"/>
      <c r="D178" s="2"/>
      <c r="E178" s="2"/>
      <c r="F178" s="2"/>
    </row>
    <row r="179" customFormat="false" ht="15.75" hidden="false" customHeight="true" outlineLevel="0" collapsed="false">
      <c r="A179" s="2"/>
      <c r="B179" s="2"/>
      <c r="C179" s="2"/>
      <c r="D179" s="2"/>
      <c r="E179" s="2"/>
      <c r="F179" s="2"/>
    </row>
    <row r="180" customFormat="false" ht="15.75" hidden="false" customHeight="true" outlineLevel="0" collapsed="false">
      <c r="A180" s="2"/>
      <c r="B180" s="2"/>
      <c r="C180" s="2"/>
      <c r="D180" s="2"/>
      <c r="E180" s="2"/>
      <c r="F180" s="2"/>
    </row>
    <row r="181" customFormat="false" ht="15.75" hidden="false" customHeight="true" outlineLevel="0" collapsed="false">
      <c r="A181" s="2"/>
      <c r="B181" s="2"/>
      <c r="C181" s="2"/>
      <c r="D181" s="2"/>
      <c r="E181" s="2"/>
      <c r="F181" s="2"/>
    </row>
    <row r="182" customFormat="false" ht="15.75" hidden="false" customHeight="true" outlineLevel="0" collapsed="false">
      <c r="A182" s="2"/>
      <c r="B182" s="2"/>
      <c r="C182" s="2"/>
      <c r="D182" s="2"/>
      <c r="E182" s="2"/>
      <c r="F182" s="2"/>
    </row>
    <row r="183" customFormat="false" ht="15.75" hidden="false" customHeight="true" outlineLevel="0" collapsed="false">
      <c r="A183" s="2"/>
      <c r="B183" s="2"/>
      <c r="C183" s="2"/>
      <c r="D183" s="2"/>
      <c r="E183" s="2"/>
      <c r="F183" s="2"/>
    </row>
    <row r="184" customFormat="false" ht="15.75" hidden="false" customHeight="true" outlineLevel="0" collapsed="false">
      <c r="A184" s="2"/>
      <c r="B184" s="2"/>
      <c r="C184" s="2"/>
      <c r="D184" s="2"/>
      <c r="E184" s="2"/>
      <c r="F184" s="2"/>
    </row>
    <row r="185" customFormat="false" ht="15.75" hidden="false" customHeight="true" outlineLevel="0" collapsed="false">
      <c r="A185" s="2"/>
      <c r="B185" s="2"/>
      <c r="C185" s="2"/>
      <c r="D185" s="2"/>
      <c r="E185" s="2"/>
      <c r="F185" s="2"/>
    </row>
    <row r="186" customFormat="false" ht="15.75" hidden="false" customHeight="true" outlineLevel="0" collapsed="false">
      <c r="A186" s="2"/>
      <c r="B186" s="2"/>
      <c r="C186" s="2"/>
      <c r="D186" s="2"/>
      <c r="E186" s="2"/>
      <c r="F186" s="2"/>
    </row>
    <row r="187" customFormat="false" ht="15.75" hidden="false" customHeight="true" outlineLevel="0" collapsed="false">
      <c r="A187" s="2"/>
      <c r="B187" s="2"/>
      <c r="C187" s="2"/>
      <c r="D187" s="2"/>
      <c r="E187" s="2"/>
      <c r="F187" s="2"/>
    </row>
    <row r="188" customFormat="false" ht="15.75" hidden="false" customHeight="true" outlineLevel="0" collapsed="false">
      <c r="A188" s="2"/>
      <c r="B188" s="2"/>
      <c r="C188" s="2"/>
      <c r="D188" s="2"/>
      <c r="E188" s="2"/>
      <c r="F188" s="2"/>
    </row>
    <row r="189" customFormat="false" ht="15.75" hidden="false" customHeight="true" outlineLevel="0" collapsed="false">
      <c r="A189" s="2"/>
      <c r="B189" s="2"/>
      <c r="C189" s="2"/>
      <c r="D189" s="2"/>
      <c r="E189" s="2"/>
      <c r="F189" s="2"/>
    </row>
    <row r="190" customFormat="false" ht="15.75" hidden="false" customHeight="true" outlineLevel="0" collapsed="false">
      <c r="A190" s="2"/>
      <c r="B190" s="2"/>
      <c r="C190" s="2"/>
      <c r="D190" s="2"/>
      <c r="E190" s="2"/>
      <c r="F190" s="2"/>
    </row>
    <row r="191" customFormat="false" ht="15.75" hidden="false" customHeight="true" outlineLevel="0" collapsed="false">
      <c r="A191" s="2"/>
      <c r="B191" s="2"/>
      <c r="C191" s="2"/>
      <c r="D191" s="2"/>
      <c r="E191" s="2"/>
      <c r="F191" s="2"/>
    </row>
    <row r="192" customFormat="false" ht="15.75" hidden="false" customHeight="true" outlineLevel="0" collapsed="false">
      <c r="A192" s="2"/>
      <c r="B192" s="2"/>
      <c r="C192" s="2"/>
      <c r="D192" s="2"/>
      <c r="E192" s="2"/>
      <c r="F192" s="2"/>
    </row>
    <row r="193" customFormat="false" ht="15.75" hidden="false" customHeight="true" outlineLevel="0" collapsed="false">
      <c r="A193" s="2"/>
      <c r="B193" s="2"/>
      <c r="C193" s="2"/>
      <c r="D193" s="2"/>
      <c r="E193" s="2"/>
      <c r="F193" s="2"/>
    </row>
    <row r="194" customFormat="false" ht="15.75" hidden="false" customHeight="true" outlineLevel="0" collapsed="false">
      <c r="A194" s="2"/>
      <c r="B194" s="2"/>
      <c r="C194" s="2"/>
      <c r="D194" s="2"/>
      <c r="E194" s="2"/>
      <c r="F194" s="2"/>
    </row>
    <row r="195" customFormat="false" ht="15.75" hidden="false" customHeight="true" outlineLevel="0" collapsed="false">
      <c r="A195" s="2"/>
      <c r="B195" s="2"/>
      <c r="C195" s="2"/>
      <c r="D195" s="2"/>
      <c r="E195" s="2"/>
      <c r="F195" s="2"/>
    </row>
    <row r="196" customFormat="false" ht="15.75" hidden="false" customHeight="true" outlineLevel="0" collapsed="false">
      <c r="A196" s="2"/>
      <c r="B196" s="2"/>
      <c r="C196" s="2"/>
      <c r="D196" s="2"/>
      <c r="E196" s="2"/>
      <c r="F196" s="2"/>
    </row>
    <row r="197" customFormat="false" ht="15.75" hidden="false" customHeight="true" outlineLevel="0" collapsed="false">
      <c r="A197" s="2"/>
      <c r="B197" s="2"/>
      <c r="C197" s="2"/>
      <c r="D197" s="2"/>
      <c r="E197" s="2"/>
      <c r="F197" s="2"/>
    </row>
    <row r="198" customFormat="false" ht="15.75" hidden="false" customHeight="true" outlineLevel="0" collapsed="false">
      <c r="A198" s="2"/>
      <c r="B198" s="2"/>
      <c r="C198" s="2"/>
      <c r="D198" s="2"/>
      <c r="E198" s="2"/>
      <c r="F198" s="2"/>
    </row>
    <row r="199" customFormat="false" ht="15.75" hidden="false" customHeight="true" outlineLevel="0" collapsed="false">
      <c r="A199" s="2"/>
      <c r="B199" s="2"/>
      <c r="C199" s="2"/>
      <c r="D199" s="2"/>
      <c r="E199" s="2"/>
      <c r="F199" s="2"/>
    </row>
    <row r="200" customFormat="false" ht="15.75" hidden="false" customHeight="true" outlineLevel="0" collapsed="false">
      <c r="A200" s="2"/>
      <c r="B200" s="2"/>
      <c r="C200" s="2"/>
      <c r="D200" s="2"/>
      <c r="E200" s="2"/>
      <c r="F200" s="2"/>
    </row>
    <row r="201" customFormat="false" ht="15.75" hidden="false" customHeight="true" outlineLevel="0" collapsed="false">
      <c r="A201" s="2"/>
      <c r="B201" s="2"/>
      <c r="C201" s="2"/>
      <c r="D201" s="2"/>
      <c r="E201" s="2"/>
      <c r="F201" s="2"/>
    </row>
    <row r="202" customFormat="false" ht="15.75" hidden="false" customHeight="true" outlineLevel="0" collapsed="false">
      <c r="A202" s="2"/>
      <c r="B202" s="2"/>
      <c r="C202" s="2"/>
      <c r="D202" s="2"/>
      <c r="E202" s="2"/>
      <c r="F202" s="2"/>
    </row>
    <row r="203" customFormat="false" ht="15.75" hidden="false" customHeight="true" outlineLevel="0" collapsed="false">
      <c r="A203" s="2"/>
      <c r="B203" s="2"/>
      <c r="C203" s="2"/>
      <c r="D203" s="2"/>
      <c r="E203" s="2"/>
      <c r="F203" s="2"/>
    </row>
    <row r="204" customFormat="false" ht="15.75" hidden="false" customHeight="true" outlineLevel="0" collapsed="false">
      <c r="A204" s="2"/>
      <c r="B204" s="2"/>
      <c r="C204" s="2"/>
      <c r="D204" s="2"/>
      <c r="E204" s="2"/>
      <c r="F204" s="2"/>
    </row>
    <row r="205" customFormat="false" ht="15.75" hidden="false" customHeight="true" outlineLevel="0" collapsed="false">
      <c r="A205" s="2"/>
      <c r="B205" s="2"/>
      <c r="C205" s="2"/>
      <c r="D205" s="2"/>
      <c r="E205" s="2"/>
      <c r="F205" s="2"/>
    </row>
    <row r="206" customFormat="false" ht="15.75" hidden="false" customHeight="true" outlineLevel="0" collapsed="false">
      <c r="A206" s="2"/>
      <c r="B206" s="2"/>
      <c r="C206" s="2"/>
      <c r="D206" s="2"/>
      <c r="E206" s="2"/>
      <c r="F206" s="2"/>
    </row>
    <row r="207" customFormat="false" ht="15.75" hidden="false" customHeight="true" outlineLevel="0" collapsed="false">
      <c r="A207" s="2"/>
      <c r="B207" s="2"/>
      <c r="C207" s="2"/>
      <c r="D207" s="2"/>
      <c r="E207" s="2"/>
      <c r="F207" s="2"/>
    </row>
    <row r="208" customFormat="false" ht="15.75" hidden="false" customHeight="true" outlineLevel="0" collapsed="false">
      <c r="A208" s="2"/>
      <c r="B208" s="2"/>
      <c r="C208" s="2"/>
      <c r="D208" s="2"/>
      <c r="E208" s="2"/>
      <c r="F208" s="2"/>
    </row>
    <row r="209" customFormat="false" ht="15.75" hidden="false" customHeight="true" outlineLevel="0" collapsed="false">
      <c r="A209" s="2"/>
      <c r="B209" s="2"/>
      <c r="C209" s="2"/>
      <c r="D209" s="2"/>
      <c r="E209" s="2"/>
      <c r="F209" s="2"/>
    </row>
    <row r="210" customFormat="false" ht="15.75" hidden="false" customHeight="true" outlineLevel="0" collapsed="false">
      <c r="A210" s="2"/>
      <c r="B210" s="2"/>
      <c r="C210" s="2"/>
      <c r="D210" s="2"/>
      <c r="E210" s="2"/>
      <c r="F210" s="2"/>
    </row>
    <row r="211" customFormat="false" ht="15.75" hidden="false" customHeight="true" outlineLevel="0" collapsed="false">
      <c r="A211" s="2"/>
      <c r="B211" s="2"/>
      <c r="C211" s="2"/>
      <c r="D211" s="2"/>
      <c r="E211" s="2"/>
      <c r="F211" s="2"/>
    </row>
    <row r="212" customFormat="false" ht="15.75" hidden="false" customHeight="true" outlineLevel="0" collapsed="false">
      <c r="A212" s="2"/>
      <c r="B212" s="2"/>
      <c r="C212" s="2"/>
      <c r="D212" s="2"/>
      <c r="E212" s="2"/>
      <c r="F212" s="2"/>
    </row>
    <row r="213" customFormat="false" ht="15.75" hidden="false" customHeight="true" outlineLevel="0" collapsed="false">
      <c r="A213" s="2"/>
      <c r="B213" s="2"/>
      <c r="C213" s="2"/>
      <c r="D213" s="2"/>
      <c r="E213" s="2"/>
      <c r="F213" s="2"/>
    </row>
    <row r="214" customFormat="false" ht="15.75" hidden="false" customHeight="true" outlineLevel="0" collapsed="false">
      <c r="A214" s="2"/>
      <c r="B214" s="2"/>
      <c r="C214" s="2"/>
      <c r="D214" s="2"/>
      <c r="E214" s="2"/>
      <c r="F214" s="2"/>
    </row>
    <row r="215" customFormat="false" ht="15.75" hidden="false" customHeight="true" outlineLevel="0" collapsed="false">
      <c r="A215" s="2"/>
      <c r="B215" s="2"/>
      <c r="C215" s="2"/>
      <c r="D215" s="2"/>
      <c r="E215" s="2"/>
      <c r="F215" s="2"/>
    </row>
    <row r="216" customFormat="false" ht="15.75" hidden="false" customHeight="true" outlineLevel="0" collapsed="false">
      <c r="A216" s="2"/>
      <c r="B216" s="2"/>
      <c r="C216" s="2"/>
      <c r="D216" s="2"/>
      <c r="E216" s="2"/>
      <c r="F216" s="2"/>
    </row>
    <row r="217" customFormat="false" ht="15.75" hidden="false" customHeight="true" outlineLevel="0" collapsed="false">
      <c r="A217" s="2"/>
      <c r="B217" s="2"/>
      <c r="C217" s="2"/>
      <c r="D217" s="2"/>
      <c r="E217" s="2"/>
      <c r="F217" s="2"/>
    </row>
    <row r="218" customFormat="false" ht="15.75" hidden="false" customHeight="true" outlineLevel="0" collapsed="false">
      <c r="A218" s="2"/>
      <c r="B218" s="2"/>
      <c r="C218" s="2"/>
      <c r="D218" s="2"/>
      <c r="E218" s="2"/>
      <c r="F218" s="2"/>
    </row>
    <row r="219" customFormat="false" ht="15.75" hidden="false" customHeight="true" outlineLevel="0" collapsed="false">
      <c r="A219" s="2"/>
      <c r="B219" s="2"/>
      <c r="C219" s="2"/>
      <c r="D219" s="2"/>
      <c r="E219" s="2"/>
      <c r="F219" s="2"/>
    </row>
    <row r="220" customFormat="false" ht="15.75" hidden="false" customHeight="true" outlineLevel="0" collapsed="false">
      <c r="A220" s="2"/>
      <c r="B220" s="2"/>
      <c r="C220" s="2"/>
      <c r="D220" s="2"/>
      <c r="E220" s="2"/>
      <c r="F220" s="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D1"/>
    <mergeCell ref="A2:D2"/>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9"/>
    <col collapsed="false" customWidth="true" hidden="false" outlineLevel="0" max="4" min="4" style="0" width="11"/>
    <col collapsed="false" customWidth="true" hidden="false" outlineLevel="0" max="5" min="5" style="0" width="36"/>
    <col collapsed="false" customWidth="true" hidden="false" outlineLevel="0" max="6" min="6" style="0" width="30"/>
    <col collapsed="false" customWidth="true" hidden="false" outlineLevel="0" max="7" min="7" style="0" width="56"/>
    <col collapsed="false" customWidth="true" hidden="false" outlineLevel="0" max="8" min="8" style="0" width="9"/>
    <col collapsed="false" customWidth="true" hidden="false" outlineLevel="0" max="9" min="9" style="0" width="30"/>
  </cols>
  <sheetData>
    <row r="1" customFormat="false" ht="19.5" hidden="false" customHeight="true" outlineLevel="0" collapsed="false">
      <c r="A1" s="10" t="s">
        <v>12</v>
      </c>
      <c r="B1" s="10"/>
      <c r="C1" s="10"/>
      <c r="D1" s="10"/>
      <c r="E1" s="10"/>
      <c r="F1" s="10"/>
      <c r="G1" s="10"/>
      <c r="H1" s="10"/>
      <c r="I1" s="10"/>
    </row>
    <row r="2" customFormat="false" ht="23.25" hidden="false" customHeight="true" outlineLevel="0" collapsed="false">
      <c r="A2" s="11" t="s">
        <v>13</v>
      </c>
      <c r="B2" s="11"/>
      <c r="C2" s="11"/>
      <c r="D2" s="11"/>
      <c r="E2" s="11"/>
      <c r="F2" s="11"/>
      <c r="G2" s="11"/>
      <c r="H2" s="11"/>
      <c r="I2" s="11"/>
    </row>
    <row r="3" customFormat="false" ht="15" hidden="false" customHeight="false" outlineLevel="0" collapsed="false">
      <c r="A3" s="2"/>
      <c r="B3" s="2"/>
      <c r="C3" s="2"/>
      <c r="D3" s="2"/>
      <c r="E3" s="2"/>
      <c r="F3" s="2"/>
      <c r="G3" s="2"/>
      <c r="H3" s="2"/>
      <c r="I3" s="2"/>
    </row>
    <row r="4" customFormat="false" ht="21.75" hidden="false" customHeight="true" outlineLevel="0" collapsed="false">
      <c r="A4" s="12" t="s">
        <v>14</v>
      </c>
      <c r="B4" s="12"/>
      <c r="C4" s="12"/>
      <c r="D4" s="12"/>
      <c r="E4" s="12"/>
      <c r="F4" s="12"/>
      <c r="G4" s="12"/>
      <c r="H4" s="12"/>
      <c r="I4" s="12"/>
    </row>
    <row r="5" customFormat="false" ht="23.85" hidden="false" customHeight="false" outlineLevel="0" collapsed="false">
      <c r="A5" s="13" t="s">
        <v>15</v>
      </c>
      <c r="B5" s="13" t="s">
        <v>16</v>
      </c>
      <c r="C5" s="13" t="s">
        <v>17</v>
      </c>
      <c r="D5" s="13" t="s">
        <v>4</v>
      </c>
      <c r="E5" s="13" t="s">
        <v>18</v>
      </c>
      <c r="F5" s="13" t="s">
        <v>19</v>
      </c>
      <c r="G5" s="13"/>
      <c r="H5" s="13"/>
      <c r="I5" s="13"/>
    </row>
    <row r="6" customFormat="false" ht="35.05" hidden="false" customHeight="false" outlineLevel="0" collapsed="false">
      <c r="A6" s="14" t="s">
        <v>20</v>
      </c>
      <c r="B6" s="14" t="s">
        <v>21</v>
      </c>
      <c r="C6" s="14" t="s">
        <v>22</v>
      </c>
      <c r="D6" s="14" t="s">
        <v>23</v>
      </c>
      <c r="E6" s="14" t="s">
        <v>24</v>
      </c>
      <c r="F6" s="14" t="s">
        <v>25</v>
      </c>
      <c r="G6" s="14"/>
      <c r="H6" s="14"/>
      <c r="I6" s="14"/>
    </row>
    <row r="7" customFormat="false" ht="35.05" hidden="false" customHeight="false" outlineLevel="0" collapsed="false">
      <c r="A7" s="14" t="s">
        <v>26</v>
      </c>
      <c r="B7" s="14" t="s">
        <v>21</v>
      </c>
      <c r="C7" s="14" t="s">
        <v>27</v>
      </c>
      <c r="D7" s="14" t="s">
        <v>28</v>
      </c>
      <c r="E7" s="14" t="s">
        <v>29</v>
      </c>
      <c r="F7" s="14" t="s">
        <v>30</v>
      </c>
      <c r="G7" s="14"/>
      <c r="H7" s="14"/>
      <c r="I7" s="14"/>
    </row>
    <row r="8" customFormat="false" ht="15" hidden="false" customHeight="false" outlineLevel="0" collapsed="false">
      <c r="A8" s="2"/>
      <c r="B8" s="2"/>
      <c r="C8" s="2"/>
      <c r="D8" s="2"/>
      <c r="E8" s="2"/>
      <c r="F8" s="2"/>
      <c r="G8" s="2"/>
      <c r="H8" s="2"/>
      <c r="I8" s="2"/>
    </row>
    <row r="9" customFormat="false" ht="21.75" hidden="false" customHeight="true" outlineLevel="0" collapsed="false">
      <c r="A9" s="12" t="s">
        <v>31</v>
      </c>
      <c r="B9" s="12"/>
      <c r="C9" s="12"/>
      <c r="D9" s="12"/>
      <c r="E9" s="12"/>
      <c r="F9" s="12"/>
      <c r="G9" s="12"/>
      <c r="H9" s="12"/>
      <c r="I9" s="12"/>
    </row>
    <row r="10" customFormat="false" ht="23.25" hidden="false" customHeight="true" outlineLevel="0" collapsed="false">
      <c r="A10" s="15" t="s">
        <v>32</v>
      </c>
      <c r="B10" s="15"/>
      <c r="C10" s="15"/>
      <c r="D10" s="15"/>
      <c r="E10" s="15"/>
      <c r="F10" s="15"/>
      <c r="G10" s="15"/>
      <c r="H10" s="15"/>
      <c r="I10" s="15"/>
    </row>
    <row r="11" customFormat="false" ht="15" hidden="false" customHeight="false" outlineLevel="0" collapsed="false">
      <c r="A11" s="2"/>
      <c r="B11" s="2"/>
      <c r="C11" s="2"/>
      <c r="D11" s="2"/>
      <c r="E11" s="2"/>
      <c r="F11" s="2"/>
      <c r="G11" s="2"/>
      <c r="H11" s="2"/>
      <c r="I11" s="2"/>
    </row>
    <row r="12" customFormat="false" ht="21.75" hidden="false" customHeight="true" outlineLevel="0" collapsed="false">
      <c r="A12" s="12" t="s">
        <v>33</v>
      </c>
      <c r="B12" s="12"/>
      <c r="C12" s="12"/>
      <c r="D12" s="12"/>
      <c r="E12" s="12"/>
      <c r="F12" s="12"/>
      <c r="G12" s="12"/>
      <c r="H12" s="12"/>
      <c r="I12" s="12"/>
    </row>
    <row r="13" customFormat="false" ht="15" hidden="false" customHeight="false" outlineLevel="0" collapsed="false">
      <c r="A13" s="13" t="s">
        <v>34</v>
      </c>
      <c r="B13" s="13" t="s">
        <v>35</v>
      </c>
      <c r="C13" s="13" t="s">
        <v>36</v>
      </c>
      <c r="D13" s="13" t="s">
        <v>37</v>
      </c>
      <c r="E13" s="13" t="s">
        <v>38</v>
      </c>
      <c r="F13" s="13" t="s">
        <v>39</v>
      </c>
      <c r="G13" s="13" t="s">
        <v>40</v>
      </c>
      <c r="H13" s="13" t="s">
        <v>41</v>
      </c>
      <c r="I13" s="13" t="s">
        <v>42</v>
      </c>
    </row>
    <row r="14" customFormat="false" ht="35.05" hidden="false" customHeight="false" outlineLevel="0" collapsed="false">
      <c r="A14" s="14" t="s">
        <v>43</v>
      </c>
      <c r="B14" s="14" t="s">
        <v>44</v>
      </c>
      <c r="C14" s="14" t="s">
        <v>45</v>
      </c>
      <c r="D14" s="14" t="s">
        <v>46</v>
      </c>
      <c r="E14" s="14" t="s">
        <v>47</v>
      </c>
      <c r="F14" s="14" t="s">
        <v>48</v>
      </c>
      <c r="G14" s="14" t="s">
        <v>49</v>
      </c>
      <c r="H14" s="14" t="s">
        <v>50</v>
      </c>
      <c r="I14" s="14" t="s">
        <v>51</v>
      </c>
    </row>
    <row r="15" customFormat="false" ht="35.05" hidden="false" customHeight="false" outlineLevel="0" collapsed="false">
      <c r="A15" s="14" t="s">
        <v>52</v>
      </c>
      <c r="B15" s="14" t="s">
        <v>44</v>
      </c>
      <c r="C15" s="14" t="s">
        <v>53</v>
      </c>
      <c r="D15" s="14" t="s">
        <v>54</v>
      </c>
      <c r="E15" s="14" t="s">
        <v>55</v>
      </c>
      <c r="F15" s="14" t="s">
        <v>56</v>
      </c>
      <c r="G15" s="14" t="s">
        <v>57</v>
      </c>
      <c r="H15" s="14" t="s">
        <v>50</v>
      </c>
      <c r="I15" s="14" t="s">
        <v>58</v>
      </c>
    </row>
    <row r="16" customFormat="false" ht="35.05" hidden="false" customHeight="false" outlineLevel="0" collapsed="false">
      <c r="A16" s="14" t="s">
        <v>59</v>
      </c>
      <c r="B16" s="14" t="s">
        <v>60</v>
      </c>
      <c r="C16" s="14" t="s">
        <v>61</v>
      </c>
      <c r="D16" s="14" t="s">
        <v>54</v>
      </c>
      <c r="E16" s="14" t="s">
        <v>62</v>
      </c>
      <c r="F16" s="14" t="s">
        <v>63</v>
      </c>
      <c r="G16" s="14" t="s">
        <v>64</v>
      </c>
      <c r="H16" s="14" t="s">
        <v>50</v>
      </c>
      <c r="I16" s="14" t="s">
        <v>65</v>
      </c>
    </row>
    <row r="17" customFormat="false" ht="35.05" hidden="false" customHeight="false" outlineLevel="0" collapsed="false">
      <c r="A17" s="14" t="s">
        <v>66</v>
      </c>
      <c r="B17" s="14" t="s">
        <v>44</v>
      </c>
      <c r="C17" s="14" t="s">
        <v>67</v>
      </c>
      <c r="D17" s="14" t="s">
        <v>68</v>
      </c>
      <c r="E17" s="14" t="s">
        <v>69</v>
      </c>
      <c r="F17" s="14" t="s">
        <v>70</v>
      </c>
      <c r="G17" s="14" t="s">
        <v>71</v>
      </c>
      <c r="H17" s="14" t="s">
        <v>50</v>
      </c>
      <c r="I17" s="14" t="s">
        <v>72</v>
      </c>
    </row>
    <row r="18" customFormat="false" ht="68.65" hidden="false" customHeight="false" outlineLevel="0" collapsed="false">
      <c r="A18" s="14" t="s">
        <v>73</v>
      </c>
      <c r="B18" s="14" t="s">
        <v>44</v>
      </c>
      <c r="C18" s="14" t="s">
        <v>74</v>
      </c>
      <c r="D18" s="14" t="s">
        <v>75</v>
      </c>
      <c r="E18" s="14" t="s">
        <v>76</v>
      </c>
      <c r="F18" s="14" t="s">
        <v>77</v>
      </c>
      <c r="G18" s="14" t="s">
        <v>78</v>
      </c>
      <c r="H18" s="14" t="s">
        <v>79</v>
      </c>
      <c r="I18" s="14" t="s">
        <v>80</v>
      </c>
    </row>
    <row r="19" customFormat="false" ht="46.25" hidden="false" customHeight="false" outlineLevel="0" collapsed="false">
      <c r="A19" s="14" t="s">
        <v>81</v>
      </c>
      <c r="B19" s="14" t="s">
        <v>82</v>
      </c>
      <c r="C19" s="14" t="s">
        <v>83</v>
      </c>
      <c r="D19" s="14" t="s">
        <v>84</v>
      </c>
      <c r="E19" s="14" t="s">
        <v>85</v>
      </c>
      <c r="F19" s="14" t="s">
        <v>86</v>
      </c>
      <c r="G19" s="14" t="s">
        <v>49</v>
      </c>
      <c r="H19" s="14" t="s">
        <v>50</v>
      </c>
      <c r="I19" s="14" t="s">
        <v>87</v>
      </c>
    </row>
    <row r="20" customFormat="false" ht="15" hidden="false" customHeight="false" outlineLevel="0" collapsed="false">
      <c r="A20" s="2"/>
      <c r="B20" s="2"/>
      <c r="C20" s="2"/>
      <c r="D20" s="2"/>
      <c r="E20" s="2"/>
      <c r="F20" s="2"/>
      <c r="G20" s="2"/>
      <c r="H20" s="2"/>
      <c r="I20" s="2"/>
    </row>
    <row r="21" customFormat="false" ht="21.75" hidden="false" customHeight="true" outlineLevel="0" collapsed="false">
      <c r="A21" s="12" t="s">
        <v>88</v>
      </c>
      <c r="B21" s="12"/>
      <c r="C21" s="12"/>
      <c r="D21" s="12"/>
      <c r="E21" s="12"/>
      <c r="F21" s="12"/>
      <c r="G21" s="12"/>
      <c r="H21" s="12"/>
      <c r="I21" s="12"/>
    </row>
    <row r="22" customFormat="false" ht="15.75" hidden="false" customHeight="true" outlineLevel="0" collapsed="false">
      <c r="A22" s="16" t="s">
        <v>89</v>
      </c>
      <c r="B22" s="15" t="s">
        <v>90</v>
      </c>
      <c r="C22" s="15"/>
      <c r="D22" s="15"/>
      <c r="E22" s="15"/>
      <c r="F22" s="15"/>
      <c r="G22" s="15"/>
      <c r="H22" s="15"/>
      <c r="I22" s="15"/>
    </row>
    <row r="23" customFormat="false" ht="15.75" hidden="false" customHeight="true" outlineLevel="0" collapsed="false">
      <c r="A23" s="16" t="s">
        <v>91</v>
      </c>
      <c r="B23" s="15" t="s">
        <v>92</v>
      </c>
      <c r="C23" s="15"/>
      <c r="D23" s="15"/>
      <c r="E23" s="15"/>
      <c r="F23" s="15"/>
      <c r="G23" s="15"/>
      <c r="H23" s="15"/>
      <c r="I23" s="15"/>
    </row>
    <row r="24" customFormat="false" ht="15.75" hidden="false" customHeight="true" outlineLevel="0" collapsed="false">
      <c r="A24" s="16" t="s">
        <v>93</v>
      </c>
      <c r="B24" s="15" t="s">
        <v>94</v>
      </c>
      <c r="C24" s="15"/>
      <c r="D24" s="15"/>
      <c r="E24" s="15"/>
      <c r="F24" s="15"/>
      <c r="G24" s="15"/>
      <c r="H24" s="15"/>
      <c r="I24" s="15"/>
    </row>
    <row r="25" customFormat="false" ht="15.75" hidden="false" customHeight="true" outlineLevel="0" collapsed="false">
      <c r="A25" s="16" t="s">
        <v>95</v>
      </c>
      <c r="B25" s="15" t="s">
        <v>96</v>
      </c>
      <c r="C25" s="15"/>
      <c r="D25" s="15"/>
      <c r="E25" s="15"/>
      <c r="F25" s="15"/>
      <c r="G25" s="15"/>
      <c r="H25" s="15"/>
      <c r="I25" s="15"/>
    </row>
    <row r="26" customFormat="false" ht="15.75" hidden="false" customHeight="true" outlineLevel="0" collapsed="false">
      <c r="A26" s="16" t="s">
        <v>42</v>
      </c>
      <c r="B26" s="15" t="s">
        <v>97</v>
      </c>
      <c r="C26" s="15"/>
      <c r="D26" s="15"/>
      <c r="E26" s="15"/>
      <c r="F26" s="15"/>
      <c r="G26" s="15"/>
      <c r="H26" s="15"/>
      <c r="I26" s="15"/>
    </row>
    <row r="27" customFormat="false" ht="15.75" hidden="false" customHeight="true" outlineLevel="0" collapsed="false">
      <c r="A27" s="2"/>
      <c r="B27" s="2"/>
      <c r="C27" s="2"/>
      <c r="D27" s="2"/>
      <c r="E27" s="2"/>
      <c r="F27" s="2"/>
      <c r="G27" s="2"/>
      <c r="H27" s="2"/>
      <c r="I27" s="2"/>
    </row>
    <row r="28" customFormat="false" ht="15.75" hidden="false" customHeight="true" outlineLevel="0" collapsed="false">
      <c r="A28" s="17" t="s">
        <v>98</v>
      </c>
      <c r="B28" s="17"/>
      <c r="C28" s="17"/>
      <c r="D28" s="17"/>
      <c r="E28" s="17"/>
      <c r="F28" s="17"/>
      <c r="G28" s="17"/>
      <c r="H28" s="17"/>
      <c r="I28" s="17"/>
    </row>
    <row r="29" customFormat="false" ht="15.75" hidden="false" customHeight="true" outlineLevel="0" collapsed="false">
      <c r="A29" s="13" t="s">
        <v>99</v>
      </c>
      <c r="B29" s="13" t="s">
        <v>100</v>
      </c>
      <c r="C29" s="13" t="s">
        <v>101</v>
      </c>
      <c r="D29" s="13" t="s">
        <v>102</v>
      </c>
      <c r="E29" s="13" t="s">
        <v>103</v>
      </c>
      <c r="F29" s="13" t="s">
        <v>104</v>
      </c>
      <c r="G29" s="13" t="s">
        <v>105</v>
      </c>
      <c r="H29" s="13" t="s">
        <v>106</v>
      </c>
      <c r="I29" s="13" t="s">
        <v>42</v>
      </c>
    </row>
    <row r="30" customFormat="false" ht="15.75" hidden="false" customHeight="true" outlineLevel="0" collapsed="false">
      <c r="A30" s="14" t="s">
        <v>107</v>
      </c>
      <c r="B30" s="14" t="s">
        <v>108</v>
      </c>
      <c r="C30" s="14" t="s">
        <v>3</v>
      </c>
      <c r="D30" s="14" t="s">
        <v>26</v>
      </c>
      <c r="E30" s="14" t="s">
        <v>109</v>
      </c>
      <c r="F30" s="14" t="s">
        <v>110</v>
      </c>
      <c r="G30" s="14" t="s">
        <v>111</v>
      </c>
      <c r="H30" s="14"/>
      <c r="I30" s="14"/>
    </row>
    <row r="31" customFormat="false" ht="15.75" hidden="false" customHeight="true" outlineLevel="0" collapsed="false">
      <c r="A31" s="14" t="s">
        <v>112</v>
      </c>
      <c r="B31" s="14" t="s">
        <v>108</v>
      </c>
      <c r="C31" s="14" t="s">
        <v>4</v>
      </c>
      <c r="D31" s="14" t="s">
        <v>26</v>
      </c>
      <c r="E31" s="14" t="s">
        <v>109</v>
      </c>
      <c r="F31" s="14" t="s">
        <v>110</v>
      </c>
      <c r="G31" s="14" t="s">
        <v>113</v>
      </c>
      <c r="H31" s="14"/>
      <c r="I31" s="14"/>
    </row>
    <row r="32" customFormat="false" ht="15.75" hidden="false" customHeight="true" outlineLevel="0" collapsed="false">
      <c r="A32" s="14" t="s">
        <v>114</v>
      </c>
      <c r="B32" s="14" t="s">
        <v>115</v>
      </c>
      <c r="C32" s="14" t="s">
        <v>3</v>
      </c>
      <c r="D32" s="14" t="s">
        <v>20</v>
      </c>
      <c r="E32" s="14" t="s">
        <v>116</v>
      </c>
      <c r="F32" s="14" t="s">
        <v>117</v>
      </c>
      <c r="G32" s="14" t="s">
        <v>118</v>
      </c>
      <c r="H32" s="14"/>
      <c r="I32" s="14"/>
    </row>
    <row r="33" customFormat="false" ht="15.75" hidden="false" customHeight="true" outlineLevel="0" collapsed="false">
      <c r="A33" s="14" t="s">
        <v>119</v>
      </c>
      <c r="B33" s="14" t="s">
        <v>115</v>
      </c>
      <c r="C33" s="14" t="s">
        <v>4</v>
      </c>
      <c r="D33" s="14" t="s">
        <v>20</v>
      </c>
      <c r="E33" s="14" t="s">
        <v>116</v>
      </c>
      <c r="F33" s="14" t="s">
        <v>117</v>
      </c>
      <c r="G33" s="14" t="s">
        <v>120</v>
      </c>
      <c r="H33" s="14"/>
      <c r="I33" s="14"/>
    </row>
    <row r="34" customFormat="false" ht="15.75" hidden="false" customHeight="true" outlineLevel="0" collapsed="false">
      <c r="A34" s="14" t="s">
        <v>121</v>
      </c>
      <c r="B34" s="14" t="s">
        <v>122</v>
      </c>
      <c r="C34" s="14" t="s">
        <v>3</v>
      </c>
      <c r="D34" s="14" t="s">
        <v>20</v>
      </c>
      <c r="E34" s="14" t="s">
        <v>123</v>
      </c>
      <c r="F34" s="14" t="s">
        <v>117</v>
      </c>
      <c r="G34" s="14" t="s">
        <v>124</v>
      </c>
      <c r="H34" s="14"/>
      <c r="I34" s="14"/>
    </row>
    <row r="35" customFormat="false" ht="15.75" hidden="false" customHeight="true" outlineLevel="0" collapsed="false">
      <c r="A35" s="14" t="s">
        <v>125</v>
      </c>
      <c r="B35" s="14" t="s">
        <v>126</v>
      </c>
      <c r="C35" s="14" t="s">
        <v>3</v>
      </c>
      <c r="D35" s="14" t="s">
        <v>26</v>
      </c>
      <c r="E35" s="14" t="s">
        <v>127</v>
      </c>
      <c r="F35" s="14" t="s">
        <v>128</v>
      </c>
      <c r="G35" s="14" t="s">
        <v>129</v>
      </c>
      <c r="H35" s="14"/>
      <c r="I35" s="14"/>
    </row>
    <row r="36" customFormat="false" ht="15.75" hidden="false" customHeight="true" outlineLevel="0" collapsed="false">
      <c r="A36" s="14" t="s">
        <v>130</v>
      </c>
      <c r="B36" s="14" t="s">
        <v>131</v>
      </c>
      <c r="C36" s="14" t="s">
        <v>3</v>
      </c>
      <c r="D36" s="14" t="s">
        <v>20</v>
      </c>
      <c r="E36" s="14" t="s">
        <v>132</v>
      </c>
      <c r="F36" s="14" t="s">
        <v>133</v>
      </c>
      <c r="G36" s="14" t="s">
        <v>134</v>
      </c>
      <c r="H36" s="14"/>
      <c r="I36" s="14"/>
    </row>
    <row r="37" customFormat="false" ht="15.75" hidden="false" customHeight="true" outlineLevel="0" collapsed="false">
      <c r="A37" s="14" t="s">
        <v>135</v>
      </c>
      <c r="B37" s="14" t="s">
        <v>136</v>
      </c>
      <c r="C37" s="14" t="s">
        <v>3</v>
      </c>
      <c r="D37" s="14" t="s">
        <v>20</v>
      </c>
      <c r="E37" s="14" t="s">
        <v>137</v>
      </c>
      <c r="F37" s="14" t="s">
        <v>138</v>
      </c>
      <c r="G37" s="14" t="s">
        <v>139</v>
      </c>
      <c r="H37" s="14"/>
      <c r="I37" s="14"/>
    </row>
    <row r="38" customFormat="false" ht="15.75" hidden="false" customHeight="true" outlineLevel="0" collapsed="false">
      <c r="A38" s="14" t="s">
        <v>140</v>
      </c>
      <c r="B38" s="14" t="s">
        <v>141</v>
      </c>
      <c r="C38" s="14" t="s">
        <v>3</v>
      </c>
      <c r="D38" s="14" t="s">
        <v>20</v>
      </c>
      <c r="E38" s="14" t="s">
        <v>142</v>
      </c>
      <c r="F38" s="14" t="s">
        <v>143</v>
      </c>
      <c r="G38" s="14" t="s">
        <v>144</v>
      </c>
      <c r="H38" s="14"/>
      <c r="I38" s="14"/>
    </row>
    <row r="39" customFormat="false" ht="15.75" hidden="false" customHeight="true" outlineLevel="0" collapsed="false">
      <c r="A39" s="14" t="s">
        <v>145</v>
      </c>
      <c r="B39" s="14" t="s">
        <v>146</v>
      </c>
      <c r="C39" s="14" t="s">
        <v>3</v>
      </c>
      <c r="D39" s="14" t="s">
        <v>20</v>
      </c>
      <c r="E39" s="14" t="s">
        <v>147</v>
      </c>
      <c r="F39" s="14" t="s">
        <v>148</v>
      </c>
      <c r="G39" s="14" t="s">
        <v>149</v>
      </c>
      <c r="H39" s="14"/>
      <c r="I39" s="14"/>
    </row>
    <row r="40" customFormat="false" ht="15.75" hidden="false" customHeight="true" outlineLevel="0" collapsed="false">
      <c r="A40" s="14" t="s">
        <v>150</v>
      </c>
      <c r="B40" s="14" t="s">
        <v>151</v>
      </c>
      <c r="C40" s="14" t="s">
        <v>3</v>
      </c>
      <c r="D40" s="14" t="s">
        <v>26</v>
      </c>
      <c r="E40" s="14" t="s">
        <v>152</v>
      </c>
      <c r="F40" s="14" t="s">
        <v>153</v>
      </c>
      <c r="G40" s="14" t="s">
        <v>154</v>
      </c>
      <c r="H40" s="14"/>
      <c r="I40" s="14"/>
    </row>
    <row r="41" customFormat="false" ht="15.75" hidden="false" customHeight="true" outlineLevel="0" collapsed="false">
      <c r="A41" s="14" t="s">
        <v>155</v>
      </c>
      <c r="B41" s="14" t="s">
        <v>156</v>
      </c>
      <c r="C41" s="14" t="s">
        <v>3</v>
      </c>
      <c r="D41" s="14" t="s">
        <v>26</v>
      </c>
      <c r="E41" s="14" t="s">
        <v>157</v>
      </c>
      <c r="F41" s="14" t="s">
        <v>158</v>
      </c>
      <c r="G41" s="14" t="s">
        <v>159</v>
      </c>
      <c r="H41" s="14"/>
      <c r="I41" s="14"/>
    </row>
    <row r="42" customFormat="false" ht="15.75" hidden="false" customHeight="true" outlineLevel="0" collapsed="false">
      <c r="A42" s="2"/>
      <c r="B42" s="2"/>
      <c r="C42" s="2"/>
      <c r="D42" s="2"/>
      <c r="E42" s="2"/>
      <c r="F42" s="2"/>
      <c r="G42" s="2"/>
      <c r="H42" s="2"/>
      <c r="I42" s="2"/>
    </row>
    <row r="43" customFormat="false" ht="15.75" hidden="false" customHeight="true" outlineLevel="0" collapsed="false">
      <c r="A43" s="17" t="s">
        <v>160</v>
      </c>
      <c r="B43" s="17"/>
      <c r="C43" s="17"/>
      <c r="D43" s="17"/>
      <c r="E43" s="17"/>
      <c r="F43" s="17"/>
      <c r="G43" s="17"/>
      <c r="H43" s="17"/>
      <c r="I43" s="17"/>
    </row>
    <row r="44" customFormat="false" ht="15.75" hidden="false" customHeight="true" outlineLevel="0" collapsed="false">
      <c r="A44" s="13" t="s">
        <v>161</v>
      </c>
      <c r="B44" s="13" t="s">
        <v>162</v>
      </c>
      <c r="C44" s="13"/>
      <c r="D44" s="13"/>
      <c r="E44" s="13"/>
      <c r="F44" s="13"/>
      <c r="G44" s="13"/>
      <c r="H44" s="13" t="s">
        <v>163</v>
      </c>
      <c r="I44" s="13" t="s">
        <v>42</v>
      </c>
    </row>
    <row r="45" customFormat="false" ht="15.75" hidden="false" customHeight="true" outlineLevel="0" collapsed="false">
      <c r="A45" s="14" t="s">
        <v>164</v>
      </c>
      <c r="B45" s="14" t="s">
        <v>165</v>
      </c>
      <c r="C45" s="14"/>
      <c r="D45" s="14"/>
      <c r="E45" s="14"/>
      <c r="F45" s="14"/>
      <c r="G45" s="14"/>
      <c r="H45" s="14"/>
      <c r="I45" s="14"/>
    </row>
    <row r="46" customFormat="false" ht="15.75" hidden="false" customHeight="true" outlineLevel="0" collapsed="false">
      <c r="A46" s="14" t="s">
        <v>166</v>
      </c>
      <c r="B46" s="14" t="s">
        <v>167</v>
      </c>
      <c r="C46" s="14"/>
      <c r="D46" s="14"/>
      <c r="E46" s="14"/>
      <c r="F46" s="14"/>
      <c r="G46" s="14"/>
      <c r="H46" s="14"/>
      <c r="I46" s="14"/>
    </row>
    <row r="47" customFormat="false" ht="15.75" hidden="false" customHeight="true" outlineLevel="0" collapsed="false">
      <c r="A47" s="14" t="s">
        <v>168</v>
      </c>
      <c r="B47" s="14" t="s">
        <v>169</v>
      </c>
      <c r="C47" s="14"/>
      <c r="D47" s="14"/>
      <c r="E47" s="14"/>
      <c r="F47" s="14"/>
      <c r="G47" s="14"/>
      <c r="H47" s="14"/>
      <c r="I47" s="14"/>
    </row>
    <row r="48" customFormat="false" ht="15.75" hidden="false" customHeight="true" outlineLevel="0" collapsed="false">
      <c r="A48" s="14" t="s">
        <v>170</v>
      </c>
      <c r="B48" s="14" t="s">
        <v>171</v>
      </c>
      <c r="C48" s="14"/>
      <c r="D48" s="14"/>
      <c r="E48" s="14"/>
      <c r="F48" s="14"/>
      <c r="G48" s="14"/>
      <c r="H48" s="14"/>
      <c r="I48" s="14"/>
    </row>
    <row r="49" customFormat="false" ht="15.75" hidden="false" customHeight="true" outlineLevel="0" collapsed="false">
      <c r="A49" s="14" t="s">
        <v>172</v>
      </c>
      <c r="B49" s="14" t="s">
        <v>173</v>
      </c>
      <c r="C49" s="14"/>
      <c r="D49" s="14"/>
      <c r="E49" s="14"/>
      <c r="F49" s="14"/>
      <c r="G49" s="14"/>
      <c r="H49" s="14"/>
      <c r="I49" s="14"/>
    </row>
    <row r="50" customFormat="false" ht="15.75" hidden="false" customHeight="true" outlineLevel="0" collapsed="false">
      <c r="A50" s="14" t="s">
        <v>174</v>
      </c>
      <c r="B50" s="14" t="s">
        <v>175</v>
      </c>
      <c r="C50" s="14"/>
      <c r="D50" s="14"/>
      <c r="E50" s="14"/>
      <c r="F50" s="14"/>
      <c r="G50" s="14"/>
      <c r="H50" s="14"/>
      <c r="I50" s="14"/>
    </row>
    <row r="51" customFormat="false" ht="15.75" hidden="false" customHeight="true" outlineLevel="0" collapsed="false">
      <c r="A51" s="2"/>
      <c r="B51" s="2"/>
      <c r="C51" s="2"/>
      <c r="D51" s="2"/>
      <c r="E51" s="2"/>
      <c r="F51" s="2"/>
      <c r="G51" s="2"/>
      <c r="H51" s="2"/>
      <c r="I51" s="2"/>
    </row>
    <row r="52" customFormat="false" ht="15.75" hidden="false" customHeight="true" outlineLevel="0" collapsed="false">
      <c r="A52" s="2"/>
      <c r="B52" s="2"/>
      <c r="C52" s="2"/>
      <c r="D52" s="2"/>
      <c r="E52" s="2"/>
      <c r="F52" s="2"/>
      <c r="G52" s="2"/>
      <c r="H52" s="2"/>
      <c r="I52" s="2"/>
    </row>
    <row r="53" customFormat="false" ht="21.75" hidden="false" customHeight="true" outlineLevel="0" collapsed="false">
      <c r="A53" s="12" t="s">
        <v>176</v>
      </c>
      <c r="B53" s="12"/>
      <c r="C53" s="12"/>
      <c r="D53" s="12"/>
      <c r="E53" s="12"/>
      <c r="F53" s="12"/>
      <c r="G53" s="12"/>
      <c r="H53" s="12"/>
      <c r="I53" s="12"/>
    </row>
    <row r="54" customFormat="false" ht="15.75" hidden="false" customHeight="true" outlineLevel="0" collapsed="false">
      <c r="A54" s="16" t="s">
        <v>89</v>
      </c>
      <c r="B54" s="15" t="s">
        <v>177</v>
      </c>
      <c r="C54" s="15"/>
      <c r="D54" s="15"/>
      <c r="E54" s="15"/>
      <c r="F54" s="15"/>
      <c r="G54" s="15"/>
      <c r="H54" s="15"/>
      <c r="I54" s="15"/>
    </row>
    <row r="55" customFormat="false" ht="15.75" hidden="false" customHeight="true" outlineLevel="0" collapsed="false">
      <c r="A55" s="16" t="s">
        <v>91</v>
      </c>
      <c r="B55" s="15" t="s">
        <v>178</v>
      </c>
      <c r="C55" s="15"/>
      <c r="D55" s="15"/>
      <c r="E55" s="15"/>
      <c r="F55" s="15"/>
      <c r="G55" s="15"/>
      <c r="H55" s="15"/>
      <c r="I55" s="15"/>
    </row>
    <row r="56" customFormat="false" ht="15.75" hidden="false" customHeight="true" outlineLevel="0" collapsed="false">
      <c r="A56" s="16" t="s">
        <v>93</v>
      </c>
      <c r="B56" s="15" t="s">
        <v>179</v>
      </c>
      <c r="C56" s="15"/>
      <c r="D56" s="15"/>
      <c r="E56" s="15"/>
      <c r="F56" s="15"/>
      <c r="G56" s="15"/>
      <c r="H56" s="15"/>
      <c r="I56" s="15"/>
    </row>
    <row r="57" customFormat="false" ht="15.75" hidden="false" customHeight="true" outlineLevel="0" collapsed="false">
      <c r="A57" s="16" t="s">
        <v>95</v>
      </c>
      <c r="B57" s="15" t="s">
        <v>180</v>
      </c>
      <c r="C57" s="15"/>
      <c r="D57" s="15"/>
      <c r="E57" s="15"/>
      <c r="F57" s="15"/>
      <c r="G57" s="15"/>
      <c r="H57" s="15"/>
      <c r="I57" s="15"/>
    </row>
    <row r="58" customFormat="false" ht="15.75" hidden="false" customHeight="true" outlineLevel="0" collapsed="false">
      <c r="A58" s="16" t="s">
        <v>42</v>
      </c>
      <c r="B58" s="15" t="s">
        <v>181</v>
      </c>
      <c r="C58" s="15"/>
      <c r="D58" s="15"/>
      <c r="E58" s="15"/>
      <c r="F58" s="15"/>
      <c r="G58" s="15"/>
      <c r="H58" s="15"/>
      <c r="I58" s="15"/>
    </row>
    <row r="59" customFormat="false" ht="15.75" hidden="false" customHeight="true" outlineLevel="0" collapsed="false">
      <c r="A59" s="2"/>
      <c r="B59" s="2"/>
      <c r="C59" s="2"/>
      <c r="D59" s="2"/>
      <c r="E59" s="2"/>
      <c r="F59" s="2"/>
      <c r="G59" s="2"/>
      <c r="H59" s="2"/>
      <c r="I59" s="2"/>
    </row>
    <row r="60" customFormat="false" ht="15.75" hidden="false" customHeight="true" outlineLevel="0" collapsed="false">
      <c r="A60" s="17" t="s">
        <v>98</v>
      </c>
      <c r="B60" s="17"/>
      <c r="C60" s="17"/>
      <c r="D60" s="17"/>
      <c r="E60" s="17"/>
      <c r="F60" s="17"/>
      <c r="G60" s="17"/>
      <c r="H60" s="17"/>
      <c r="I60" s="17"/>
    </row>
    <row r="61" customFormat="false" ht="15.75" hidden="false" customHeight="true" outlineLevel="0" collapsed="false">
      <c r="A61" s="13" t="s">
        <v>99</v>
      </c>
      <c r="B61" s="13" t="s">
        <v>100</v>
      </c>
      <c r="C61" s="13" t="s">
        <v>101</v>
      </c>
      <c r="D61" s="13" t="s">
        <v>102</v>
      </c>
      <c r="E61" s="13" t="s">
        <v>103</v>
      </c>
      <c r="F61" s="13" t="s">
        <v>104</v>
      </c>
      <c r="G61" s="13" t="s">
        <v>105</v>
      </c>
      <c r="H61" s="13" t="s">
        <v>106</v>
      </c>
      <c r="I61" s="13" t="s">
        <v>42</v>
      </c>
    </row>
    <row r="62" customFormat="false" ht="15.75" hidden="false" customHeight="true" outlineLevel="0" collapsed="false">
      <c r="A62" s="14" t="s">
        <v>107</v>
      </c>
      <c r="B62" s="14" t="s">
        <v>108</v>
      </c>
      <c r="C62" s="14" t="s">
        <v>3</v>
      </c>
      <c r="D62" s="14" t="s">
        <v>26</v>
      </c>
      <c r="E62" s="14" t="s">
        <v>109</v>
      </c>
      <c r="F62" s="14" t="s">
        <v>110</v>
      </c>
      <c r="G62" s="14" t="s">
        <v>111</v>
      </c>
      <c r="H62" s="14"/>
      <c r="I62" s="14"/>
    </row>
    <row r="63" customFormat="false" ht="15.75" hidden="false" customHeight="true" outlineLevel="0" collapsed="false">
      <c r="A63" s="14" t="s">
        <v>112</v>
      </c>
      <c r="B63" s="14" t="s">
        <v>108</v>
      </c>
      <c r="C63" s="14" t="s">
        <v>4</v>
      </c>
      <c r="D63" s="14" t="s">
        <v>26</v>
      </c>
      <c r="E63" s="14" t="s">
        <v>109</v>
      </c>
      <c r="F63" s="14" t="s">
        <v>110</v>
      </c>
      <c r="G63" s="14" t="s">
        <v>182</v>
      </c>
      <c r="H63" s="14"/>
      <c r="I63" s="14"/>
    </row>
    <row r="64" customFormat="false" ht="15.75" hidden="false" customHeight="true" outlineLevel="0" collapsed="false">
      <c r="A64" s="14" t="s">
        <v>164</v>
      </c>
      <c r="B64" s="14" t="s">
        <v>183</v>
      </c>
      <c r="C64" s="14" t="s">
        <v>3</v>
      </c>
      <c r="D64" s="14" t="s">
        <v>26</v>
      </c>
      <c r="E64" s="14" t="s">
        <v>184</v>
      </c>
      <c r="F64" s="14" t="s">
        <v>185</v>
      </c>
      <c r="G64" s="14" t="s">
        <v>186</v>
      </c>
      <c r="H64" s="14"/>
      <c r="I64" s="14"/>
    </row>
    <row r="65" customFormat="false" ht="15.75" hidden="false" customHeight="true" outlineLevel="0" collapsed="false">
      <c r="A65" s="14" t="s">
        <v>166</v>
      </c>
      <c r="B65" s="14" t="s">
        <v>187</v>
      </c>
      <c r="C65" s="14" t="s">
        <v>3</v>
      </c>
      <c r="D65" s="14" t="s">
        <v>26</v>
      </c>
      <c r="E65" s="14" t="s">
        <v>188</v>
      </c>
      <c r="F65" s="14" t="s">
        <v>189</v>
      </c>
      <c r="G65" s="14" t="s">
        <v>190</v>
      </c>
      <c r="H65" s="14"/>
      <c r="I65" s="14" t="s">
        <v>191</v>
      </c>
    </row>
    <row r="66" customFormat="false" ht="15.75" hidden="false" customHeight="true" outlineLevel="0" collapsed="false">
      <c r="A66" s="14" t="s">
        <v>192</v>
      </c>
      <c r="B66" s="14" t="s">
        <v>193</v>
      </c>
      <c r="C66" s="14" t="s">
        <v>4</v>
      </c>
      <c r="D66" s="14" t="s">
        <v>20</v>
      </c>
      <c r="E66" s="14" t="s">
        <v>194</v>
      </c>
      <c r="F66" s="14" t="s">
        <v>195</v>
      </c>
      <c r="G66" s="14" t="s">
        <v>196</v>
      </c>
      <c r="H66" s="14"/>
      <c r="I66" s="14"/>
    </row>
    <row r="67" customFormat="false" ht="15.75" hidden="false" customHeight="true" outlineLevel="0" collapsed="false">
      <c r="A67" s="2"/>
      <c r="B67" s="2"/>
      <c r="C67" s="2"/>
      <c r="D67" s="2"/>
      <c r="E67" s="2"/>
      <c r="F67" s="2"/>
      <c r="G67" s="2"/>
      <c r="H67" s="2"/>
      <c r="I67" s="2"/>
    </row>
    <row r="68" customFormat="false" ht="15.75" hidden="false" customHeight="true" outlineLevel="0" collapsed="false">
      <c r="A68" s="17" t="s">
        <v>160</v>
      </c>
      <c r="B68" s="17"/>
      <c r="C68" s="17"/>
      <c r="D68" s="17"/>
      <c r="E68" s="17"/>
      <c r="F68" s="17"/>
      <c r="G68" s="17"/>
      <c r="H68" s="17"/>
      <c r="I68" s="17"/>
    </row>
    <row r="69" customFormat="false" ht="15.75" hidden="false" customHeight="true" outlineLevel="0" collapsed="false">
      <c r="A69" s="13" t="s">
        <v>161</v>
      </c>
      <c r="B69" s="13" t="s">
        <v>162</v>
      </c>
      <c r="C69" s="13"/>
      <c r="D69" s="13"/>
      <c r="E69" s="13"/>
      <c r="F69" s="13"/>
      <c r="G69" s="13"/>
      <c r="H69" s="13" t="s">
        <v>163</v>
      </c>
      <c r="I69" s="13" t="s">
        <v>42</v>
      </c>
    </row>
    <row r="70" customFormat="false" ht="15.75" hidden="false" customHeight="true" outlineLevel="0" collapsed="false">
      <c r="A70" s="14" t="s">
        <v>197</v>
      </c>
      <c r="B70" s="14" t="s">
        <v>198</v>
      </c>
      <c r="C70" s="14"/>
      <c r="D70" s="14"/>
      <c r="E70" s="14"/>
      <c r="F70" s="14"/>
      <c r="G70" s="14"/>
      <c r="H70" s="14"/>
      <c r="I70" s="14"/>
    </row>
    <row r="71" customFormat="false" ht="15.75" hidden="false" customHeight="true" outlineLevel="0" collapsed="false">
      <c r="A71" s="14" t="s">
        <v>199</v>
      </c>
      <c r="B71" s="14" t="s">
        <v>200</v>
      </c>
      <c r="C71" s="14"/>
      <c r="D71" s="14"/>
      <c r="E71" s="14"/>
      <c r="F71" s="14"/>
      <c r="G71" s="14"/>
      <c r="H71" s="14"/>
      <c r="I71" s="14"/>
    </row>
    <row r="72" customFormat="false" ht="15.75" hidden="false" customHeight="true" outlineLevel="0" collapsed="false">
      <c r="A72" s="14" t="s">
        <v>201</v>
      </c>
      <c r="B72" s="14" t="s">
        <v>202</v>
      </c>
      <c r="C72" s="14"/>
      <c r="D72" s="14"/>
      <c r="E72" s="14"/>
      <c r="F72" s="14"/>
      <c r="G72" s="14"/>
      <c r="H72" s="14"/>
      <c r="I72" s="14"/>
    </row>
    <row r="73" customFormat="false" ht="15.75" hidden="false" customHeight="true" outlineLevel="0" collapsed="false">
      <c r="A73" s="14" t="s">
        <v>203</v>
      </c>
      <c r="B73" s="14" t="s">
        <v>204</v>
      </c>
      <c r="C73" s="14"/>
      <c r="D73" s="14"/>
      <c r="E73" s="14"/>
      <c r="F73" s="14"/>
      <c r="G73" s="14"/>
      <c r="H73" s="14"/>
      <c r="I73" s="14"/>
    </row>
    <row r="74" customFormat="false" ht="15.75" hidden="false" customHeight="true" outlineLevel="0" collapsed="false">
      <c r="A74" s="14" t="s">
        <v>205</v>
      </c>
      <c r="B74" s="14" t="s">
        <v>206</v>
      </c>
      <c r="C74" s="14"/>
      <c r="D74" s="14"/>
      <c r="E74" s="14"/>
      <c r="F74" s="14"/>
      <c r="G74" s="14"/>
      <c r="H74" s="14"/>
      <c r="I74" s="14"/>
    </row>
    <row r="75" customFormat="false" ht="15.75" hidden="false" customHeight="true" outlineLevel="0" collapsed="false">
      <c r="A75" s="2"/>
      <c r="B75" s="2"/>
      <c r="C75" s="2"/>
      <c r="D75" s="2"/>
      <c r="E75" s="2"/>
      <c r="F75" s="2"/>
      <c r="G75" s="2"/>
      <c r="H75" s="2"/>
      <c r="I75" s="2"/>
    </row>
    <row r="76" customFormat="false" ht="15.75" hidden="false" customHeight="true" outlineLevel="0" collapsed="false">
      <c r="A76" s="2"/>
      <c r="B76" s="2"/>
      <c r="C76" s="2"/>
      <c r="D76" s="2"/>
      <c r="E76" s="2"/>
      <c r="F76" s="2"/>
      <c r="G76" s="2"/>
      <c r="H76" s="2"/>
      <c r="I76" s="2"/>
    </row>
    <row r="77" customFormat="false" ht="21.75" hidden="false" customHeight="true" outlineLevel="0" collapsed="false">
      <c r="A77" s="12" t="s">
        <v>207</v>
      </c>
      <c r="B77" s="12"/>
      <c r="C77" s="12"/>
      <c r="D77" s="12"/>
      <c r="E77" s="12"/>
      <c r="F77" s="12"/>
      <c r="G77" s="12"/>
      <c r="H77" s="12"/>
      <c r="I77" s="12"/>
    </row>
    <row r="78" customFormat="false" ht="15.75" hidden="false" customHeight="true" outlineLevel="0" collapsed="false">
      <c r="A78" s="16" t="s">
        <v>89</v>
      </c>
      <c r="B78" s="15" t="s">
        <v>208</v>
      </c>
      <c r="C78" s="15"/>
      <c r="D78" s="15"/>
      <c r="E78" s="15"/>
      <c r="F78" s="15"/>
      <c r="G78" s="15"/>
      <c r="H78" s="15"/>
      <c r="I78" s="15"/>
    </row>
    <row r="79" customFormat="false" ht="15.75" hidden="false" customHeight="true" outlineLevel="0" collapsed="false">
      <c r="A79" s="16" t="s">
        <v>91</v>
      </c>
      <c r="B79" s="15" t="s">
        <v>209</v>
      </c>
      <c r="C79" s="15"/>
      <c r="D79" s="15"/>
      <c r="E79" s="15"/>
      <c r="F79" s="15"/>
      <c r="G79" s="15"/>
      <c r="H79" s="15"/>
      <c r="I79" s="15"/>
    </row>
    <row r="80" customFormat="false" ht="15.75" hidden="false" customHeight="true" outlineLevel="0" collapsed="false">
      <c r="A80" s="16" t="s">
        <v>93</v>
      </c>
      <c r="B80" s="15" t="s">
        <v>210</v>
      </c>
      <c r="C80" s="15"/>
      <c r="D80" s="15"/>
      <c r="E80" s="15"/>
      <c r="F80" s="15"/>
      <c r="G80" s="15"/>
      <c r="H80" s="15"/>
      <c r="I80" s="15"/>
    </row>
    <row r="81" customFormat="false" ht="15.75" hidden="false" customHeight="true" outlineLevel="0" collapsed="false">
      <c r="A81" s="16" t="s">
        <v>95</v>
      </c>
      <c r="B81" s="15" t="s">
        <v>211</v>
      </c>
      <c r="C81" s="15"/>
      <c r="D81" s="15"/>
      <c r="E81" s="15"/>
      <c r="F81" s="15"/>
      <c r="G81" s="15"/>
      <c r="H81" s="15"/>
      <c r="I81" s="15"/>
    </row>
    <row r="82" customFormat="false" ht="15.75" hidden="false" customHeight="true" outlineLevel="0" collapsed="false">
      <c r="A82" s="16" t="s">
        <v>42</v>
      </c>
      <c r="B82" s="15" t="s">
        <v>212</v>
      </c>
      <c r="C82" s="15"/>
      <c r="D82" s="15"/>
      <c r="E82" s="15"/>
      <c r="F82" s="15"/>
      <c r="G82" s="15"/>
      <c r="H82" s="15"/>
      <c r="I82" s="15"/>
    </row>
    <row r="83" customFormat="false" ht="15.75" hidden="false" customHeight="true" outlineLevel="0" collapsed="false">
      <c r="A83" s="2"/>
      <c r="B83" s="2"/>
      <c r="C83" s="2"/>
      <c r="D83" s="2"/>
      <c r="E83" s="2"/>
      <c r="F83" s="2"/>
      <c r="G83" s="2"/>
      <c r="H83" s="2"/>
      <c r="I83" s="2"/>
    </row>
    <row r="84" customFormat="false" ht="15.75" hidden="false" customHeight="true" outlineLevel="0" collapsed="false">
      <c r="A84" s="17" t="s">
        <v>98</v>
      </c>
      <c r="B84" s="17"/>
      <c r="C84" s="17"/>
      <c r="D84" s="17"/>
      <c r="E84" s="17"/>
      <c r="F84" s="17"/>
      <c r="G84" s="17"/>
      <c r="H84" s="17"/>
      <c r="I84" s="17"/>
    </row>
    <row r="85" customFormat="false" ht="15.75" hidden="false" customHeight="true" outlineLevel="0" collapsed="false">
      <c r="A85" s="13" t="s">
        <v>99</v>
      </c>
      <c r="B85" s="13" t="s">
        <v>100</v>
      </c>
      <c r="C85" s="13" t="s">
        <v>101</v>
      </c>
      <c r="D85" s="13" t="s">
        <v>102</v>
      </c>
      <c r="E85" s="13" t="s">
        <v>103</v>
      </c>
      <c r="F85" s="13" t="s">
        <v>104</v>
      </c>
      <c r="G85" s="13" t="s">
        <v>105</v>
      </c>
      <c r="H85" s="13" t="s">
        <v>106</v>
      </c>
      <c r="I85" s="13" t="s">
        <v>42</v>
      </c>
    </row>
    <row r="86" customFormat="false" ht="15.75" hidden="false" customHeight="true" outlineLevel="0" collapsed="false">
      <c r="A86" s="14" t="s">
        <v>107</v>
      </c>
      <c r="B86" s="14" t="s">
        <v>108</v>
      </c>
      <c r="C86" s="14" t="s">
        <v>3</v>
      </c>
      <c r="D86" s="14" t="s">
        <v>26</v>
      </c>
      <c r="E86" s="14" t="s">
        <v>109</v>
      </c>
      <c r="F86" s="14" t="s">
        <v>153</v>
      </c>
      <c r="G86" s="14" t="s">
        <v>213</v>
      </c>
      <c r="H86" s="14"/>
      <c r="I86" s="14"/>
    </row>
    <row r="87" customFormat="false" ht="15.75" hidden="false" customHeight="true" outlineLevel="0" collapsed="false">
      <c r="A87" s="14" t="s">
        <v>112</v>
      </c>
      <c r="B87" s="14" t="s">
        <v>108</v>
      </c>
      <c r="C87" s="14" t="s">
        <v>4</v>
      </c>
      <c r="D87" s="14" t="s">
        <v>26</v>
      </c>
      <c r="E87" s="14" t="s">
        <v>109</v>
      </c>
      <c r="F87" s="14" t="s">
        <v>153</v>
      </c>
      <c r="G87" s="14" t="s">
        <v>214</v>
      </c>
      <c r="H87" s="14"/>
      <c r="I87" s="14"/>
    </row>
    <row r="88" customFormat="false" ht="15.75" hidden="false" customHeight="true" outlineLevel="0" collapsed="false">
      <c r="A88" s="14" t="s">
        <v>215</v>
      </c>
      <c r="B88" s="14" t="s">
        <v>216</v>
      </c>
      <c r="C88" s="14" t="s">
        <v>3</v>
      </c>
      <c r="D88" s="14" t="s">
        <v>20</v>
      </c>
      <c r="E88" s="14" t="s">
        <v>217</v>
      </c>
      <c r="F88" s="14" t="s">
        <v>218</v>
      </c>
      <c r="G88" s="14" t="s">
        <v>219</v>
      </c>
      <c r="H88" s="14"/>
      <c r="I88" s="14"/>
    </row>
    <row r="89" customFormat="false" ht="15.75" hidden="false" customHeight="true" outlineLevel="0" collapsed="false">
      <c r="A89" s="14" t="s">
        <v>220</v>
      </c>
      <c r="B89" s="14" t="s">
        <v>216</v>
      </c>
      <c r="C89" s="14" t="s">
        <v>4</v>
      </c>
      <c r="D89" s="14" t="s">
        <v>20</v>
      </c>
      <c r="E89" s="14" t="s">
        <v>217</v>
      </c>
      <c r="F89" s="14" t="s">
        <v>218</v>
      </c>
      <c r="G89" s="14" t="s">
        <v>221</v>
      </c>
      <c r="H89" s="14"/>
      <c r="I89" s="14"/>
    </row>
    <row r="90" customFormat="false" ht="15.75" hidden="false" customHeight="true" outlineLevel="0" collapsed="false">
      <c r="A90" s="2"/>
      <c r="B90" s="2"/>
      <c r="C90" s="2"/>
      <c r="D90" s="2"/>
      <c r="E90" s="2"/>
      <c r="F90" s="2"/>
      <c r="G90" s="2"/>
      <c r="H90" s="2"/>
      <c r="I90" s="2"/>
    </row>
    <row r="91" customFormat="false" ht="15.75" hidden="false" customHeight="true" outlineLevel="0" collapsed="false">
      <c r="A91" s="17" t="s">
        <v>160</v>
      </c>
      <c r="B91" s="17"/>
      <c r="C91" s="17"/>
      <c r="D91" s="17"/>
      <c r="E91" s="17"/>
      <c r="F91" s="17"/>
      <c r="G91" s="17"/>
      <c r="H91" s="17"/>
      <c r="I91" s="17"/>
    </row>
    <row r="92" customFormat="false" ht="15.75" hidden="false" customHeight="true" outlineLevel="0" collapsed="false">
      <c r="A92" s="13" t="s">
        <v>161</v>
      </c>
      <c r="B92" s="13" t="s">
        <v>162</v>
      </c>
      <c r="C92" s="13"/>
      <c r="D92" s="13"/>
      <c r="E92" s="13"/>
      <c r="F92" s="13"/>
      <c r="G92" s="13"/>
      <c r="H92" s="13" t="s">
        <v>163</v>
      </c>
      <c r="I92" s="13" t="s">
        <v>42</v>
      </c>
    </row>
    <row r="93" customFormat="false" ht="15.75" hidden="false" customHeight="true" outlineLevel="0" collapsed="false">
      <c r="A93" s="14" t="s">
        <v>222</v>
      </c>
      <c r="B93" s="14" t="s">
        <v>223</v>
      </c>
      <c r="C93" s="14"/>
      <c r="D93" s="14"/>
      <c r="E93" s="14"/>
      <c r="F93" s="14"/>
      <c r="G93" s="14"/>
      <c r="H93" s="14"/>
      <c r="I93" s="14"/>
    </row>
    <row r="94" customFormat="false" ht="15.75" hidden="false" customHeight="true" outlineLevel="0" collapsed="false">
      <c r="A94" s="14" t="s">
        <v>197</v>
      </c>
      <c r="B94" s="14" t="s">
        <v>198</v>
      </c>
      <c r="C94" s="14"/>
      <c r="D94" s="14"/>
      <c r="E94" s="14"/>
      <c r="F94" s="14"/>
      <c r="G94" s="14"/>
      <c r="H94" s="14"/>
      <c r="I94" s="14"/>
    </row>
    <row r="95" customFormat="false" ht="15.75" hidden="false" customHeight="true" outlineLevel="0" collapsed="false">
      <c r="A95" s="14" t="s">
        <v>201</v>
      </c>
      <c r="B95" s="14" t="s">
        <v>224</v>
      </c>
      <c r="C95" s="14"/>
      <c r="D95" s="14"/>
      <c r="E95" s="14"/>
      <c r="F95" s="14"/>
      <c r="G95" s="14"/>
      <c r="H95" s="14"/>
      <c r="I95" s="14"/>
    </row>
    <row r="96" customFormat="false" ht="15.75" hidden="false" customHeight="true" outlineLevel="0" collapsed="false">
      <c r="A96" s="14" t="s">
        <v>203</v>
      </c>
      <c r="B96" s="14" t="s">
        <v>225</v>
      </c>
      <c r="C96" s="14"/>
      <c r="D96" s="14"/>
      <c r="E96" s="14"/>
      <c r="F96" s="14"/>
      <c r="G96" s="14"/>
      <c r="H96" s="14"/>
      <c r="I96" s="14"/>
    </row>
    <row r="97" customFormat="false" ht="15.75" hidden="false" customHeight="true" outlineLevel="0" collapsed="false">
      <c r="A97" s="2"/>
      <c r="B97" s="2"/>
      <c r="C97" s="2"/>
      <c r="D97" s="2"/>
      <c r="E97" s="2"/>
      <c r="F97" s="2"/>
      <c r="G97" s="2"/>
      <c r="H97" s="2"/>
      <c r="I97" s="2"/>
    </row>
    <row r="98" customFormat="false" ht="15.75" hidden="false" customHeight="true" outlineLevel="0" collapsed="false">
      <c r="A98" s="2"/>
      <c r="B98" s="2"/>
      <c r="C98" s="2"/>
      <c r="D98" s="2"/>
      <c r="E98" s="2"/>
      <c r="F98" s="2"/>
      <c r="G98" s="2"/>
      <c r="H98" s="2"/>
      <c r="I98" s="2"/>
    </row>
    <row r="99" customFormat="false" ht="21.75" hidden="false" customHeight="true" outlineLevel="0" collapsed="false">
      <c r="A99" s="12" t="s">
        <v>226</v>
      </c>
      <c r="B99" s="12"/>
      <c r="C99" s="12"/>
      <c r="D99" s="12"/>
      <c r="E99" s="12"/>
      <c r="F99" s="12"/>
      <c r="G99" s="12"/>
      <c r="H99" s="12"/>
      <c r="I99" s="12"/>
    </row>
    <row r="100" customFormat="false" ht="15.75" hidden="false" customHeight="true" outlineLevel="0" collapsed="false">
      <c r="A100" s="16" t="s">
        <v>89</v>
      </c>
      <c r="B100" s="15" t="s">
        <v>227</v>
      </c>
      <c r="C100" s="15"/>
      <c r="D100" s="15"/>
      <c r="E100" s="15"/>
      <c r="F100" s="15"/>
      <c r="G100" s="15"/>
      <c r="H100" s="15"/>
      <c r="I100" s="15"/>
    </row>
    <row r="101" customFormat="false" ht="15.75" hidden="false" customHeight="true" outlineLevel="0" collapsed="false">
      <c r="A101" s="16" t="s">
        <v>91</v>
      </c>
      <c r="B101" s="15" t="s">
        <v>228</v>
      </c>
      <c r="C101" s="15"/>
      <c r="D101" s="15"/>
      <c r="E101" s="15"/>
      <c r="F101" s="15"/>
      <c r="G101" s="15"/>
      <c r="H101" s="15"/>
      <c r="I101" s="15"/>
    </row>
    <row r="102" customFormat="false" ht="15.75" hidden="false" customHeight="true" outlineLevel="0" collapsed="false">
      <c r="A102" s="16" t="s">
        <v>93</v>
      </c>
      <c r="B102" s="15" t="s">
        <v>229</v>
      </c>
      <c r="C102" s="15"/>
      <c r="D102" s="15"/>
      <c r="E102" s="15"/>
      <c r="F102" s="15"/>
      <c r="G102" s="15"/>
      <c r="H102" s="15"/>
      <c r="I102" s="15"/>
    </row>
    <row r="103" customFormat="false" ht="15.75" hidden="false" customHeight="true" outlineLevel="0" collapsed="false">
      <c r="A103" s="16" t="s">
        <v>95</v>
      </c>
      <c r="B103" s="15" t="s">
        <v>230</v>
      </c>
      <c r="C103" s="15"/>
      <c r="D103" s="15"/>
      <c r="E103" s="15"/>
      <c r="F103" s="15"/>
      <c r="G103" s="15"/>
      <c r="H103" s="15"/>
      <c r="I103" s="15"/>
    </row>
    <row r="104" customFormat="false" ht="15.75" hidden="false" customHeight="true" outlineLevel="0" collapsed="false">
      <c r="A104" s="16" t="s">
        <v>42</v>
      </c>
      <c r="B104" s="15" t="s">
        <v>231</v>
      </c>
      <c r="C104" s="15"/>
      <c r="D104" s="15"/>
      <c r="E104" s="15"/>
      <c r="F104" s="15"/>
      <c r="G104" s="15"/>
      <c r="H104" s="15"/>
      <c r="I104" s="15"/>
    </row>
    <row r="105" customFormat="false" ht="15.75" hidden="false" customHeight="true" outlineLevel="0" collapsed="false">
      <c r="A105" s="2"/>
      <c r="B105" s="2"/>
      <c r="C105" s="2"/>
      <c r="D105" s="2"/>
      <c r="E105" s="2"/>
      <c r="F105" s="2"/>
      <c r="G105" s="2"/>
      <c r="H105" s="2"/>
      <c r="I105" s="2"/>
    </row>
    <row r="106" customFormat="false" ht="15.75" hidden="false" customHeight="true" outlineLevel="0" collapsed="false">
      <c r="A106" s="17" t="s">
        <v>98</v>
      </c>
      <c r="B106" s="17"/>
      <c r="C106" s="17"/>
      <c r="D106" s="17"/>
      <c r="E106" s="17"/>
      <c r="F106" s="17"/>
      <c r="G106" s="17"/>
      <c r="H106" s="17"/>
      <c r="I106" s="17"/>
    </row>
    <row r="107" customFormat="false" ht="15.75" hidden="false" customHeight="true" outlineLevel="0" collapsed="false">
      <c r="A107" s="13" t="s">
        <v>99</v>
      </c>
      <c r="B107" s="13" t="s">
        <v>100</v>
      </c>
      <c r="C107" s="13" t="s">
        <v>101</v>
      </c>
      <c r="D107" s="13" t="s">
        <v>102</v>
      </c>
      <c r="E107" s="13" t="s">
        <v>103</v>
      </c>
      <c r="F107" s="13" t="s">
        <v>104</v>
      </c>
      <c r="G107" s="13" t="s">
        <v>105</v>
      </c>
      <c r="H107" s="13" t="s">
        <v>106</v>
      </c>
      <c r="I107" s="13" t="s">
        <v>42</v>
      </c>
    </row>
    <row r="108" customFormat="false" ht="15.75" hidden="false" customHeight="true" outlineLevel="0" collapsed="false">
      <c r="A108" s="14" t="s">
        <v>107</v>
      </c>
      <c r="B108" s="14" t="s">
        <v>108</v>
      </c>
      <c r="C108" s="14" t="s">
        <v>3</v>
      </c>
      <c r="D108" s="14" t="s">
        <v>26</v>
      </c>
      <c r="E108" s="14" t="s">
        <v>109</v>
      </c>
      <c r="F108" s="14" t="s">
        <v>153</v>
      </c>
      <c r="G108" s="14" t="s">
        <v>213</v>
      </c>
      <c r="H108" s="14"/>
      <c r="I108" s="14"/>
    </row>
    <row r="109" customFormat="false" ht="15.75" hidden="false" customHeight="true" outlineLevel="0" collapsed="false">
      <c r="A109" s="14" t="s">
        <v>112</v>
      </c>
      <c r="B109" s="14" t="s">
        <v>108</v>
      </c>
      <c r="C109" s="14" t="s">
        <v>4</v>
      </c>
      <c r="D109" s="14" t="s">
        <v>26</v>
      </c>
      <c r="E109" s="14" t="s">
        <v>109</v>
      </c>
      <c r="F109" s="14" t="s">
        <v>153</v>
      </c>
      <c r="G109" s="14" t="s">
        <v>214</v>
      </c>
      <c r="H109" s="14"/>
      <c r="I109" s="14"/>
    </row>
    <row r="110" customFormat="false" ht="15.75" hidden="false" customHeight="true" outlineLevel="0" collapsed="false">
      <c r="A110" s="14" t="s">
        <v>114</v>
      </c>
      <c r="B110" s="14" t="s">
        <v>115</v>
      </c>
      <c r="C110" s="14" t="s">
        <v>3</v>
      </c>
      <c r="D110" s="14" t="s">
        <v>20</v>
      </c>
      <c r="E110" s="14" t="s">
        <v>116</v>
      </c>
      <c r="F110" s="14" t="s">
        <v>232</v>
      </c>
      <c r="G110" s="14" t="s">
        <v>213</v>
      </c>
      <c r="H110" s="14"/>
      <c r="I110" s="14"/>
    </row>
    <row r="111" customFormat="false" ht="15.75" hidden="false" customHeight="true" outlineLevel="0" collapsed="false">
      <c r="A111" s="14" t="s">
        <v>119</v>
      </c>
      <c r="B111" s="14" t="s">
        <v>115</v>
      </c>
      <c r="C111" s="14" t="s">
        <v>4</v>
      </c>
      <c r="D111" s="14" t="s">
        <v>20</v>
      </c>
      <c r="E111" s="14" t="s">
        <v>116</v>
      </c>
      <c r="F111" s="14" t="s">
        <v>232</v>
      </c>
      <c r="G111" s="14" t="s">
        <v>214</v>
      </c>
      <c r="H111" s="14"/>
      <c r="I111" s="14"/>
    </row>
    <row r="112" customFormat="false" ht="15.75" hidden="false" customHeight="true" outlineLevel="0" collapsed="false">
      <c r="A112" s="14" t="s">
        <v>121</v>
      </c>
      <c r="B112" s="14" t="s">
        <v>122</v>
      </c>
      <c r="C112" s="14" t="s">
        <v>3</v>
      </c>
      <c r="D112" s="14" t="s">
        <v>20</v>
      </c>
      <c r="E112" s="14" t="s">
        <v>123</v>
      </c>
      <c r="F112" s="14" t="s">
        <v>232</v>
      </c>
      <c r="G112" s="14" t="s">
        <v>233</v>
      </c>
      <c r="H112" s="14"/>
      <c r="I112" s="14"/>
    </row>
    <row r="113" customFormat="false" ht="15.75" hidden="false" customHeight="true" outlineLevel="0" collapsed="false">
      <c r="A113" s="14" t="s">
        <v>125</v>
      </c>
      <c r="B113" s="14" t="s">
        <v>126</v>
      </c>
      <c r="C113" s="14" t="s">
        <v>3</v>
      </c>
      <c r="D113" s="14" t="s">
        <v>26</v>
      </c>
      <c r="E113" s="14" t="s">
        <v>234</v>
      </c>
      <c r="F113" s="14" t="s">
        <v>235</v>
      </c>
      <c r="G113" s="14" t="s">
        <v>213</v>
      </c>
      <c r="H113" s="14"/>
      <c r="I113" s="14"/>
    </row>
    <row r="114" customFormat="false" ht="15.75" hidden="false" customHeight="true" outlineLevel="0" collapsed="false">
      <c r="A114" s="14" t="s">
        <v>236</v>
      </c>
      <c r="B114" s="14" t="s">
        <v>237</v>
      </c>
      <c r="C114" s="14" t="s">
        <v>3</v>
      </c>
      <c r="D114" s="14" t="s">
        <v>26</v>
      </c>
      <c r="E114" s="14" t="s">
        <v>238</v>
      </c>
      <c r="F114" s="14" t="s">
        <v>239</v>
      </c>
      <c r="G114" s="14" t="s">
        <v>240</v>
      </c>
      <c r="H114" s="14"/>
      <c r="I114" s="14"/>
    </row>
    <row r="115" customFormat="false" ht="15.75" hidden="false" customHeight="true" outlineLevel="0" collapsed="false">
      <c r="A115" s="14" t="s">
        <v>241</v>
      </c>
      <c r="B115" s="14" t="s">
        <v>242</v>
      </c>
      <c r="C115" s="14" t="s">
        <v>3</v>
      </c>
      <c r="D115" s="14" t="s">
        <v>26</v>
      </c>
      <c r="E115" s="14" t="s">
        <v>243</v>
      </c>
      <c r="F115" s="14" t="s">
        <v>244</v>
      </c>
      <c r="G115" s="14" t="s">
        <v>245</v>
      </c>
      <c r="H115" s="14"/>
      <c r="I115" s="14"/>
    </row>
    <row r="116" customFormat="false" ht="15.75" hidden="false" customHeight="true" outlineLevel="0" collapsed="false">
      <c r="A116" s="14" t="s">
        <v>246</v>
      </c>
      <c r="B116" s="14" t="s">
        <v>247</v>
      </c>
      <c r="C116" s="14" t="s">
        <v>3</v>
      </c>
      <c r="D116" s="14" t="s">
        <v>20</v>
      </c>
      <c r="E116" s="14" t="s">
        <v>248</v>
      </c>
      <c r="F116" s="14" t="s">
        <v>249</v>
      </c>
      <c r="G116" s="14" t="s">
        <v>250</v>
      </c>
      <c r="H116" s="14"/>
      <c r="I116" s="14"/>
    </row>
    <row r="117" customFormat="false" ht="15.75" hidden="false" customHeight="true" outlineLevel="0" collapsed="false">
      <c r="A117" s="14" t="s">
        <v>251</v>
      </c>
      <c r="B117" s="14" t="s">
        <v>252</v>
      </c>
      <c r="C117" s="14" t="s">
        <v>3</v>
      </c>
      <c r="D117" s="14" t="s">
        <v>26</v>
      </c>
      <c r="E117" s="14" t="s">
        <v>253</v>
      </c>
      <c r="F117" s="14" t="s">
        <v>249</v>
      </c>
      <c r="G117" s="14" t="s">
        <v>254</v>
      </c>
      <c r="H117" s="14"/>
      <c r="I117" s="14"/>
    </row>
    <row r="118" customFormat="false" ht="15.75" hidden="false" customHeight="true" outlineLevel="0" collapsed="false">
      <c r="A118" s="2"/>
      <c r="B118" s="2"/>
      <c r="C118" s="2"/>
      <c r="D118" s="2"/>
      <c r="E118" s="2"/>
      <c r="F118" s="2"/>
      <c r="G118" s="2"/>
      <c r="H118" s="2"/>
      <c r="I118" s="2"/>
    </row>
    <row r="119" customFormat="false" ht="15.75" hidden="false" customHeight="true" outlineLevel="0" collapsed="false">
      <c r="A119" s="17" t="s">
        <v>255</v>
      </c>
      <c r="B119" s="17"/>
      <c r="C119" s="17"/>
      <c r="D119" s="17"/>
      <c r="E119" s="17"/>
      <c r="F119" s="17"/>
      <c r="G119" s="17"/>
      <c r="H119" s="17"/>
      <c r="I119" s="17"/>
    </row>
    <row r="120" customFormat="false" ht="15.75" hidden="false" customHeight="true" outlineLevel="0" collapsed="false">
      <c r="A120" s="14" t="s">
        <v>256</v>
      </c>
      <c r="B120" s="14" t="s">
        <v>257</v>
      </c>
      <c r="C120" s="14"/>
      <c r="D120" s="14"/>
      <c r="E120" s="14"/>
      <c r="F120" s="14"/>
      <c r="G120" s="14"/>
      <c r="H120" s="14"/>
      <c r="I120" s="14" t="s">
        <v>258</v>
      </c>
    </row>
    <row r="121" customFormat="false" ht="15.75" hidden="false" customHeight="true" outlineLevel="0" collapsed="false">
      <c r="A121" s="2"/>
      <c r="B121" s="2"/>
      <c r="C121" s="2"/>
      <c r="D121" s="2"/>
      <c r="E121" s="2"/>
      <c r="F121" s="2"/>
      <c r="G121" s="2"/>
      <c r="H121" s="2"/>
      <c r="I121" s="2"/>
    </row>
    <row r="122" customFormat="false" ht="15.75" hidden="false" customHeight="true" outlineLevel="0" collapsed="false">
      <c r="A122" s="17" t="s">
        <v>160</v>
      </c>
      <c r="B122" s="17"/>
      <c r="C122" s="17"/>
      <c r="D122" s="17"/>
      <c r="E122" s="17"/>
      <c r="F122" s="17"/>
      <c r="G122" s="17"/>
      <c r="H122" s="17"/>
      <c r="I122" s="17"/>
    </row>
    <row r="123" customFormat="false" ht="15.75" hidden="false" customHeight="true" outlineLevel="0" collapsed="false">
      <c r="A123" s="13" t="s">
        <v>161</v>
      </c>
      <c r="B123" s="13" t="s">
        <v>162</v>
      </c>
      <c r="C123" s="13"/>
      <c r="D123" s="13"/>
      <c r="E123" s="13"/>
      <c r="F123" s="13"/>
      <c r="G123" s="13"/>
      <c r="H123" s="13" t="s">
        <v>163</v>
      </c>
      <c r="I123" s="13" t="s">
        <v>42</v>
      </c>
    </row>
    <row r="124" customFormat="false" ht="15.75" hidden="false" customHeight="true" outlineLevel="0" collapsed="false">
      <c r="A124" s="14" t="s">
        <v>199</v>
      </c>
      <c r="B124" s="14" t="s">
        <v>259</v>
      </c>
      <c r="C124" s="14"/>
      <c r="D124" s="14"/>
      <c r="E124" s="14"/>
      <c r="F124" s="14"/>
      <c r="G124" s="14"/>
      <c r="H124" s="14"/>
      <c r="I124" s="14"/>
    </row>
    <row r="125" customFormat="false" ht="15.75" hidden="false" customHeight="true" outlineLevel="0" collapsed="false">
      <c r="A125" s="14" t="s">
        <v>260</v>
      </c>
      <c r="B125" s="14" t="s">
        <v>261</v>
      </c>
      <c r="C125" s="14"/>
      <c r="D125" s="14"/>
      <c r="E125" s="14"/>
      <c r="F125" s="14"/>
      <c r="G125" s="14"/>
      <c r="H125" s="14"/>
      <c r="I125" s="14"/>
    </row>
    <row r="126" customFormat="false" ht="15.75" hidden="false" customHeight="true" outlineLevel="0" collapsed="false">
      <c r="A126" s="14" t="s">
        <v>262</v>
      </c>
      <c r="B126" s="14" t="s">
        <v>263</v>
      </c>
      <c r="C126" s="14"/>
      <c r="D126" s="14"/>
      <c r="E126" s="14"/>
      <c r="F126" s="14"/>
      <c r="G126" s="14"/>
      <c r="H126" s="14"/>
      <c r="I126" s="14"/>
    </row>
    <row r="127" customFormat="false" ht="15.75" hidden="false" customHeight="true" outlineLevel="0" collapsed="false">
      <c r="A127" s="14" t="s">
        <v>264</v>
      </c>
      <c r="B127" s="14" t="s">
        <v>265</v>
      </c>
      <c r="C127" s="14"/>
      <c r="D127" s="14"/>
      <c r="E127" s="14"/>
      <c r="F127" s="14"/>
      <c r="G127" s="14"/>
      <c r="H127" s="14"/>
      <c r="I127" s="14"/>
    </row>
    <row r="128" customFormat="false" ht="15.75" hidden="false" customHeight="true" outlineLevel="0" collapsed="false">
      <c r="A128" s="2"/>
      <c r="B128" s="2"/>
      <c r="C128" s="2"/>
      <c r="D128" s="2"/>
      <c r="E128" s="2"/>
      <c r="F128" s="2"/>
      <c r="G128" s="2"/>
      <c r="H128" s="2"/>
      <c r="I128" s="2"/>
    </row>
    <row r="129" customFormat="false" ht="15.75" hidden="false" customHeight="true" outlineLevel="0" collapsed="false">
      <c r="A129" s="2"/>
      <c r="B129" s="2"/>
      <c r="C129" s="2"/>
      <c r="D129" s="2"/>
      <c r="E129" s="2"/>
      <c r="F129" s="2"/>
      <c r="G129" s="2"/>
      <c r="H129" s="2"/>
      <c r="I129" s="2"/>
    </row>
    <row r="130" customFormat="false" ht="21.75" hidden="false" customHeight="true" outlineLevel="0" collapsed="false">
      <c r="A130" s="12" t="s">
        <v>266</v>
      </c>
      <c r="B130" s="12"/>
      <c r="C130" s="12"/>
      <c r="D130" s="12"/>
      <c r="E130" s="12"/>
      <c r="F130" s="12"/>
      <c r="G130" s="12"/>
      <c r="H130" s="12"/>
      <c r="I130" s="12"/>
    </row>
    <row r="131" customFormat="false" ht="15.75" hidden="false" customHeight="true" outlineLevel="0" collapsed="false">
      <c r="A131" s="16" t="s">
        <v>89</v>
      </c>
      <c r="B131" s="15" t="s">
        <v>267</v>
      </c>
      <c r="C131" s="15"/>
      <c r="D131" s="15"/>
      <c r="E131" s="15"/>
      <c r="F131" s="15"/>
      <c r="G131" s="15"/>
      <c r="H131" s="15"/>
      <c r="I131" s="15"/>
    </row>
    <row r="132" customFormat="false" ht="15.75" hidden="false" customHeight="true" outlineLevel="0" collapsed="false">
      <c r="A132" s="16" t="s">
        <v>91</v>
      </c>
      <c r="B132" s="15" t="s">
        <v>268</v>
      </c>
      <c r="C132" s="15"/>
      <c r="D132" s="15"/>
      <c r="E132" s="15"/>
      <c r="F132" s="15"/>
      <c r="G132" s="15"/>
      <c r="H132" s="15"/>
      <c r="I132" s="15"/>
    </row>
    <row r="133" customFormat="false" ht="15.75" hidden="false" customHeight="true" outlineLevel="0" collapsed="false">
      <c r="A133" s="16" t="s">
        <v>93</v>
      </c>
      <c r="B133" s="15" t="s">
        <v>269</v>
      </c>
      <c r="C133" s="15"/>
      <c r="D133" s="15"/>
      <c r="E133" s="15"/>
      <c r="F133" s="15"/>
      <c r="G133" s="15"/>
      <c r="H133" s="15"/>
      <c r="I133" s="15"/>
    </row>
    <row r="134" customFormat="false" ht="15.75" hidden="false" customHeight="true" outlineLevel="0" collapsed="false">
      <c r="A134" s="16" t="s">
        <v>95</v>
      </c>
      <c r="B134" s="15" t="s">
        <v>270</v>
      </c>
      <c r="C134" s="15"/>
      <c r="D134" s="15"/>
      <c r="E134" s="15"/>
      <c r="F134" s="15"/>
      <c r="G134" s="15"/>
      <c r="H134" s="15"/>
      <c r="I134" s="15"/>
    </row>
    <row r="135" customFormat="false" ht="15.75" hidden="false" customHeight="true" outlineLevel="0" collapsed="false">
      <c r="A135" s="16" t="s">
        <v>42</v>
      </c>
      <c r="B135" s="15" t="s">
        <v>271</v>
      </c>
      <c r="C135" s="15"/>
      <c r="D135" s="15"/>
      <c r="E135" s="15"/>
      <c r="F135" s="15"/>
      <c r="G135" s="15"/>
      <c r="H135" s="15"/>
      <c r="I135" s="15"/>
    </row>
    <row r="136" customFormat="false" ht="15.75" hidden="false" customHeight="true" outlineLevel="0" collapsed="false">
      <c r="A136" s="2"/>
      <c r="B136" s="2"/>
      <c r="C136" s="2"/>
      <c r="D136" s="2"/>
      <c r="E136" s="2"/>
      <c r="F136" s="2"/>
      <c r="G136" s="2"/>
      <c r="H136" s="2"/>
      <c r="I136" s="2"/>
    </row>
    <row r="137" customFormat="false" ht="15.75" hidden="false" customHeight="true" outlineLevel="0" collapsed="false">
      <c r="A137" s="17" t="s">
        <v>98</v>
      </c>
      <c r="B137" s="17"/>
      <c r="C137" s="17"/>
      <c r="D137" s="17"/>
      <c r="E137" s="17"/>
      <c r="F137" s="17"/>
      <c r="G137" s="17"/>
      <c r="H137" s="17"/>
      <c r="I137" s="17"/>
    </row>
    <row r="138" customFormat="false" ht="15.75" hidden="false" customHeight="true" outlineLevel="0" collapsed="false">
      <c r="A138" s="13" t="s">
        <v>99</v>
      </c>
      <c r="B138" s="13" t="s">
        <v>100</v>
      </c>
      <c r="C138" s="13" t="s">
        <v>101</v>
      </c>
      <c r="D138" s="13" t="s">
        <v>102</v>
      </c>
      <c r="E138" s="13" t="s">
        <v>103</v>
      </c>
      <c r="F138" s="13" t="s">
        <v>104</v>
      </c>
      <c r="G138" s="13" t="s">
        <v>105</v>
      </c>
      <c r="H138" s="13" t="s">
        <v>106</v>
      </c>
      <c r="I138" s="13" t="s">
        <v>42</v>
      </c>
    </row>
    <row r="139" customFormat="false" ht="15.75" hidden="false" customHeight="true" outlineLevel="0" collapsed="false">
      <c r="A139" s="14" t="s">
        <v>272</v>
      </c>
      <c r="B139" s="14" t="s">
        <v>273</v>
      </c>
      <c r="C139" s="14" t="s">
        <v>274</v>
      </c>
      <c r="D139" s="14" t="s">
        <v>275</v>
      </c>
      <c r="E139" s="14" t="s">
        <v>276</v>
      </c>
      <c r="F139" s="14" t="s">
        <v>277</v>
      </c>
      <c r="G139" s="14" t="s">
        <v>278</v>
      </c>
      <c r="H139" s="14"/>
      <c r="I139" s="14"/>
    </row>
    <row r="140" customFormat="false" ht="15.75" hidden="false" customHeight="true" outlineLevel="0" collapsed="false">
      <c r="A140" s="14" t="s">
        <v>279</v>
      </c>
      <c r="B140" s="14" t="s">
        <v>280</v>
      </c>
      <c r="C140" s="14" t="s">
        <v>3</v>
      </c>
      <c r="D140" s="14" t="s">
        <v>20</v>
      </c>
      <c r="E140" s="14" t="s">
        <v>281</v>
      </c>
      <c r="F140" s="14" t="s">
        <v>282</v>
      </c>
      <c r="G140" s="14" t="s">
        <v>283</v>
      </c>
      <c r="H140" s="14"/>
      <c r="I140" s="14" t="s">
        <v>284</v>
      </c>
    </row>
    <row r="141" customFormat="false" ht="15.75" hidden="false" customHeight="true" outlineLevel="0" collapsed="false">
      <c r="A141" s="14" t="s">
        <v>285</v>
      </c>
      <c r="B141" s="14" t="s">
        <v>286</v>
      </c>
      <c r="C141" s="14" t="s">
        <v>3</v>
      </c>
      <c r="D141" s="14" t="s">
        <v>20</v>
      </c>
      <c r="E141" s="14" t="s">
        <v>287</v>
      </c>
      <c r="F141" s="14" t="s">
        <v>288</v>
      </c>
      <c r="G141" s="14" t="s">
        <v>289</v>
      </c>
      <c r="H141" s="14"/>
      <c r="I141" s="14" t="s">
        <v>290</v>
      </c>
    </row>
    <row r="142" customFormat="false" ht="15.75" hidden="false" customHeight="true" outlineLevel="0" collapsed="false">
      <c r="A142" s="14" t="s">
        <v>291</v>
      </c>
      <c r="B142" s="14" t="s">
        <v>292</v>
      </c>
      <c r="C142" s="14" t="s">
        <v>3</v>
      </c>
      <c r="D142" s="14" t="s">
        <v>20</v>
      </c>
      <c r="E142" s="14" t="s">
        <v>293</v>
      </c>
      <c r="F142" s="14" t="s">
        <v>288</v>
      </c>
      <c r="G142" s="14" t="s">
        <v>294</v>
      </c>
      <c r="H142" s="14"/>
      <c r="I142" s="14" t="s">
        <v>295</v>
      </c>
    </row>
    <row r="143" customFormat="false" ht="15.75" hidden="false" customHeight="true" outlineLevel="0" collapsed="false">
      <c r="A143" s="14" t="s">
        <v>296</v>
      </c>
      <c r="B143" s="14" t="s">
        <v>297</v>
      </c>
      <c r="C143" s="14" t="s">
        <v>3</v>
      </c>
      <c r="D143" s="14" t="s">
        <v>20</v>
      </c>
      <c r="E143" s="14" t="s">
        <v>298</v>
      </c>
      <c r="F143" s="14" t="s">
        <v>288</v>
      </c>
      <c r="G143" s="14" t="s">
        <v>299</v>
      </c>
      <c r="H143" s="14"/>
      <c r="I143" s="14" t="s">
        <v>300</v>
      </c>
    </row>
    <row r="144" customFormat="false" ht="15.75" hidden="false" customHeight="true" outlineLevel="0" collapsed="false">
      <c r="A144" s="14" t="s">
        <v>301</v>
      </c>
      <c r="B144" s="14" t="s">
        <v>302</v>
      </c>
      <c r="C144" s="14" t="s">
        <v>3</v>
      </c>
      <c r="D144" s="14" t="s">
        <v>20</v>
      </c>
      <c r="E144" s="14" t="s">
        <v>303</v>
      </c>
      <c r="F144" s="14" t="s">
        <v>288</v>
      </c>
      <c r="G144" s="14" t="s">
        <v>304</v>
      </c>
      <c r="H144" s="14"/>
      <c r="I144" s="14" t="s">
        <v>305</v>
      </c>
    </row>
    <row r="145" customFormat="false" ht="15.75" hidden="false" customHeight="true" outlineLevel="0" collapsed="false">
      <c r="A145" s="14" t="s">
        <v>306</v>
      </c>
      <c r="B145" s="14" t="s">
        <v>307</v>
      </c>
      <c r="C145" s="14" t="s">
        <v>3</v>
      </c>
      <c r="D145" s="14" t="s">
        <v>20</v>
      </c>
      <c r="E145" s="14" t="s">
        <v>308</v>
      </c>
      <c r="F145" s="14" t="s">
        <v>288</v>
      </c>
      <c r="G145" s="14" t="s">
        <v>309</v>
      </c>
      <c r="H145" s="14"/>
      <c r="I145" s="14" t="s">
        <v>310</v>
      </c>
    </row>
    <row r="146" customFormat="false" ht="15.75" hidden="false" customHeight="true" outlineLevel="0" collapsed="false">
      <c r="A146" s="14" t="s">
        <v>311</v>
      </c>
      <c r="B146" s="14" t="s">
        <v>312</v>
      </c>
      <c r="C146" s="14" t="s">
        <v>4</v>
      </c>
      <c r="D146" s="14" t="s">
        <v>313</v>
      </c>
      <c r="E146" s="14" t="s">
        <v>314</v>
      </c>
      <c r="F146" s="14" t="s">
        <v>315</v>
      </c>
      <c r="G146" s="14" t="s">
        <v>316</v>
      </c>
      <c r="H146" s="14"/>
      <c r="I146" s="14"/>
    </row>
    <row r="147" customFormat="false" ht="15.75" hidden="false" customHeight="true" outlineLevel="0" collapsed="false">
      <c r="A147" s="14" t="s">
        <v>317</v>
      </c>
      <c r="B147" s="14" t="s">
        <v>318</v>
      </c>
      <c r="C147" s="14" t="s">
        <v>4</v>
      </c>
      <c r="D147" s="14" t="s">
        <v>319</v>
      </c>
      <c r="E147" s="14" t="s">
        <v>320</v>
      </c>
      <c r="F147" s="14" t="s">
        <v>321</v>
      </c>
      <c r="G147" s="14" t="s">
        <v>322</v>
      </c>
      <c r="H147" s="14"/>
      <c r="I147" s="14" t="s">
        <v>323</v>
      </c>
    </row>
    <row r="148" customFormat="false" ht="15.75" hidden="false" customHeight="true" outlineLevel="0" collapsed="false">
      <c r="A148" s="14" t="s">
        <v>324</v>
      </c>
      <c r="B148" s="14" t="s">
        <v>325</v>
      </c>
      <c r="C148" s="14" t="s">
        <v>3</v>
      </c>
      <c r="D148" s="14" t="s">
        <v>26</v>
      </c>
      <c r="E148" s="14" t="s">
        <v>326</v>
      </c>
      <c r="F148" s="14" t="s">
        <v>327</v>
      </c>
      <c r="G148" s="14" t="s">
        <v>328</v>
      </c>
      <c r="H148" s="14"/>
      <c r="I148" s="14" t="s">
        <v>329</v>
      </c>
    </row>
    <row r="149" customFormat="false" ht="15.75" hidden="false" customHeight="true" outlineLevel="0" collapsed="false">
      <c r="A149" s="2"/>
      <c r="B149" s="2"/>
      <c r="C149" s="2"/>
      <c r="D149" s="2"/>
      <c r="E149" s="2"/>
      <c r="F149" s="2"/>
      <c r="G149" s="2"/>
      <c r="H149" s="2"/>
      <c r="I149" s="2"/>
    </row>
    <row r="150" customFormat="false" ht="15.75" hidden="false" customHeight="true" outlineLevel="0" collapsed="false">
      <c r="A150" s="17" t="s">
        <v>160</v>
      </c>
      <c r="B150" s="17"/>
      <c r="C150" s="17"/>
      <c r="D150" s="17"/>
      <c r="E150" s="17"/>
      <c r="F150" s="17"/>
      <c r="G150" s="17"/>
      <c r="H150" s="17"/>
      <c r="I150" s="17"/>
    </row>
    <row r="151" customFormat="false" ht="15.75" hidden="false" customHeight="true" outlineLevel="0" collapsed="false">
      <c r="A151" s="13" t="s">
        <v>161</v>
      </c>
      <c r="B151" s="13" t="s">
        <v>162</v>
      </c>
      <c r="C151" s="13"/>
      <c r="D151" s="13"/>
      <c r="E151" s="13"/>
      <c r="F151" s="13"/>
      <c r="G151" s="13"/>
      <c r="H151" s="13" t="s">
        <v>163</v>
      </c>
      <c r="I151" s="13" t="s">
        <v>42</v>
      </c>
    </row>
    <row r="152" customFormat="false" ht="15.75" hidden="false" customHeight="true" outlineLevel="0" collapsed="false">
      <c r="A152" s="14" t="s">
        <v>330</v>
      </c>
      <c r="B152" s="14" t="s">
        <v>331</v>
      </c>
      <c r="C152" s="14"/>
      <c r="D152" s="14"/>
      <c r="E152" s="14"/>
      <c r="F152" s="14"/>
      <c r="G152" s="14"/>
      <c r="H152" s="14"/>
      <c r="I152" s="14"/>
    </row>
    <row r="153" customFormat="false" ht="15.75" hidden="false" customHeight="true" outlineLevel="0" collapsed="false">
      <c r="A153" s="14" t="s">
        <v>332</v>
      </c>
      <c r="B153" s="14" t="s">
        <v>333</v>
      </c>
      <c r="C153" s="14"/>
      <c r="D153" s="14"/>
      <c r="E153" s="14"/>
      <c r="F153" s="14"/>
      <c r="G153" s="14"/>
      <c r="H153" s="14"/>
      <c r="I153" s="14"/>
    </row>
    <row r="154" customFormat="false" ht="15.75" hidden="false" customHeight="true" outlineLevel="0" collapsed="false">
      <c r="A154" s="14" t="s">
        <v>334</v>
      </c>
      <c r="B154" s="14" t="s">
        <v>335</v>
      </c>
      <c r="C154" s="14"/>
      <c r="D154" s="14"/>
      <c r="E154" s="14"/>
      <c r="F154" s="14"/>
      <c r="G154" s="14"/>
      <c r="H154" s="14"/>
      <c r="I154" s="14"/>
    </row>
    <row r="155" customFormat="false" ht="15.75" hidden="false" customHeight="true" outlineLevel="0" collapsed="false">
      <c r="A155" s="14" t="s">
        <v>172</v>
      </c>
      <c r="B155" s="14" t="s">
        <v>336</v>
      </c>
      <c r="C155" s="14"/>
      <c r="D155" s="14"/>
      <c r="E155" s="14"/>
      <c r="F155" s="14"/>
      <c r="G155" s="14"/>
      <c r="H155" s="14"/>
      <c r="I155" s="14"/>
    </row>
    <row r="156" customFormat="false" ht="15.75" hidden="false" customHeight="true" outlineLevel="0" collapsed="false">
      <c r="A156" s="2"/>
      <c r="B156" s="2"/>
      <c r="C156" s="2"/>
      <c r="D156" s="2"/>
      <c r="E156" s="2"/>
      <c r="F156" s="2"/>
      <c r="G156" s="2"/>
      <c r="H156" s="2"/>
      <c r="I156" s="2"/>
    </row>
    <row r="157" customFormat="false" ht="15.75" hidden="false" customHeight="true" outlineLevel="0" collapsed="false">
      <c r="A157" s="2"/>
      <c r="B157" s="2"/>
      <c r="C157" s="2"/>
      <c r="D157" s="2"/>
      <c r="E157" s="2"/>
      <c r="F157" s="2"/>
      <c r="G157" s="2"/>
      <c r="H157" s="2"/>
      <c r="I157" s="2"/>
    </row>
    <row r="158" customFormat="false" ht="21.75" hidden="false" customHeight="true" outlineLevel="0" collapsed="false">
      <c r="A158" s="12" t="s">
        <v>337</v>
      </c>
      <c r="B158" s="12"/>
      <c r="C158" s="12"/>
      <c r="D158" s="12"/>
      <c r="E158" s="12"/>
      <c r="F158" s="12"/>
      <c r="G158" s="12"/>
      <c r="H158" s="12"/>
      <c r="I158" s="12"/>
    </row>
    <row r="159" customFormat="false" ht="15.75" hidden="false" customHeight="true" outlineLevel="0" collapsed="false">
      <c r="A159" s="16" t="s">
        <v>89</v>
      </c>
      <c r="B159" s="15" t="s">
        <v>338</v>
      </c>
      <c r="C159" s="15"/>
      <c r="D159" s="15"/>
      <c r="E159" s="15"/>
      <c r="F159" s="15"/>
      <c r="G159" s="15"/>
      <c r="H159" s="15"/>
      <c r="I159" s="15"/>
    </row>
    <row r="160" customFormat="false" ht="15.75" hidden="false" customHeight="true" outlineLevel="0" collapsed="false">
      <c r="A160" s="16" t="s">
        <v>91</v>
      </c>
      <c r="B160" s="15" t="s">
        <v>339</v>
      </c>
      <c r="C160" s="15"/>
      <c r="D160" s="15"/>
      <c r="E160" s="15"/>
      <c r="F160" s="15"/>
      <c r="G160" s="15"/>
      <c r="H160" s="15"/>
      <c r="I160" s="15"/>
    </row>
    <row r="161" customFormat="false" ht="15.75" hidden="false" customHeight="true" outlineLevel="0" collapsed="false">
      <c r="A161" s="16" t="s">
        <v>93</v>
      </c>
      <c r="B161" s="15" t="s">
        <v>340</v>
      </c>
      <c r="C161" s="15"/>
      <c r="D161" s="15"/>
      <c r="E161" s="15"/>
      <c r="F161" s="15"/>
      <c r="G161" s="15"/>
      <c r="H161" s="15"/>
      <c r="I161" s="15"/>
    </row>
    <row r="162" customFormat="false" ht="15.75" hidden="false" customHeight="true" outlineLevel="0" collapsed="false">
      <c r="A162" s="16" t="s">
        <v>95</v>
      </c>
      <c r="B162" s="15" t="s">
        <v>341</v>
      </c>
      <c r="C162" s="15"/>
      <c r="D162" s="15"/>
      <c r="E162" s="15"/>
      <c r="F162" s="15"/>
      <c r="G162" s="15"/>
      <c r="H162" s="15"/>
      <c r="I162" s="15"/>
    </row>
    <row r="163" customFormat="false" ht="15.75" hidden="false" customHeight="true" outlineLevel="0" collapsed="false">
      <c r="A163" s="16" t="s">
        <v>42</v>
      </c>
      <c r="B163" s="15" t="s">
        <v>342</v>
      </c>
      <c r="C163" s="15"/>
      <c r="D163" s="15"/>
      <c r="E163" s="15"/>
      <c r="F163" s="15"/>
      <c r="G163" s="15"/>
      <c r="H163" s="15"/>
      <c r="I163" s="15"/>
    </row>
    <row r="164" customFormat="false" ht="15.75" hidden="false" customHeight="true" outlineLevel="0" collapsed="false">
      <c r="A164" s="2"/>
      <c r="B164" s="2"/>
      <c r="C164" s="2"/>
      <c r="D164" s="2"/>
      <c r="E164" s="2"/>
      <c r="F164" s="2"/>
      <c r="G164" s="2"/>
      <c r="H164" s="2"/>
      <c r="I164" s="2"/>
    </row>
    <row r="165" customFormat="false" ht="15.75" hidden="false" customHeight="true" outlineLevel="0" collapsed="false">
      <c r="A165" s="17" t="s">
        <v>98</v>
      </c>
      <c r="B165" s="17"/>
      <c r="C165" s="17"/>
      <c r="D165" s="17"/>
      <c r="E165" s="17"/>
      <c r="F165" s="17"/>
      <c r="G165" s="17"/>
      <c r="H165" s="17"/>
      <c r="I165" s="17"/>
    </row>
    <row r="166" customFormat="false" ht="15.75" hidden="false" customHeight="true" outlineLevel="0" collapsed="false">
      <c r="A166" s="13" t="s">
        <v>99</v>
      </c>
      <c r="B166" s="13" t="s">
        <v>100</v>
      </c>
      <c r="C166" s="13" t="s">
        <v>101</v>
      </c>
      <c r="D166" s="13" t="s">
        <v>102</v>
      </c>
      <c r="E166" s="13" t="s">
        <v>103</v>
      </c>
      <c r="F166" s="13" t="s">
        <v>104</v>
      </c>
      <c r="G166" s="13" t="s">
        <v>105</v>
      </c>
      <c r="H166" s="13" t="s">
        <v>106</v>
      </c>
      <c r="I166" s="13" t="s">
        <v>42</v>
      </c>
    </row>
    <row r="167" customFormat="false" ht="15.75" hidden="false" customHeight="true" outlineLevel="0" collapsed="false">
      <c r="A167" s="14" t="s">
        <v>343</v>
      </c>
      <c r="B167" s="14" t="s">
        <v>344</v>
      </c>
      <c r="C167" s="14" t="s">
        <v>345</v>
      </c>
      <c r="D167" s="14" t="s">
        <v>346</v>
      </c>
      <c r="E167" s="14" t="s">
        <v>347</v>
      </c>
      <c r="F167" s="14" t="s">
        <v>348</v>
      </c>
      <c r="G167" s="14" t="s">
        <v>349</v>
      </c>
      <c r="H167" s="14"/>
      <c r="I167" s="14"/>
    </row>
    <row r="168" customFormat="false" ht="15.75" hidden="false" customHeight="true" outlineLevel="0" collapsed="false">
      <c r="A168" s="14" t="s">
        <v>236</v>
      </c>
      <c r="B168" s="14" t="s">
        <v>350</v>
      </c>
      <c r="C168" s="14" t="s">
        <v>3</v>
      </c>
      <c r="D168" s="14" t="s">
        <v>26</v>
      </c>
      <c r="E168" s="14" t="s">
        <v>351</v>
      </c>
      <c r="F168" s="14" t="s">
        <v>352</v>
      </c>
      <c r="G168" s="14" t="s">
        <v>353</v>
      </c>
      <c r="H168" s="14"/>
      <c r="I168" s="14"/>
    </row>
    <row r="169" customFormat="false" ht="15.75" hidden="false" customHeight="true" outlineLevel="0" collapsed="false">
      <c r="A169" s="14" t="s">
        <v>354</v>
      </c>
      <c r="B169" s="14" t="s">
        <v>355</v>
      </c>
      <c r="C169" s="14" t="s">
        <v>356</v>
      </c>
      <c r="D169" s="14" t="s">
        <v>357</v>
      </c>
      <c r="E169" s="14" t="s">
        <v>358</v>
      </c>
      <c r="F169" s="14" t="s">
        <v>359</v>
      </c>
      <c r="G169" s="14" t="s">
        <v>360</v>
      </c>
      <c r="H169" s="14"/>
      <c r="I169" s="14"/>
    </row>
    <row r="170" customFormat="false" ht="15.75" hidden="false" customHeight="true" outlineLevel="0" collapsed="false">
      <c r="A170" s="2"/>
      <c r="B170" s="2"/>
      <c r="C170" s="2"/>
      <c r="D170" s="2"/>
      <c r="E170" s="2"/>
      <c r="F170" s="2"/>
      <c r="G170" s="2"/>
      <c r="H170" s="2"/>
      <c r="I170" s="2"/>
    </row>
    <row r="171" customFormat="false" ht="15.75" hidden="false" customHeight="true" outlineLevel="0" collapsed="false">
      <c r="A171" s="17" t="s">
        <v>160</v>
      </c>
      <c r="B171" s="17"/>
      <c r="C171" s="17"/>
      <c r="D171" s="17"/>
      <c r="E171" s="17"/>
      <c r="F171" s="17"/>
      <c r="G171" s="17"/>
      <c r="H171" s="17"/>
      <c r="I171" s="17"/>
    </row>
    <row r="172" customFormat="false" ht="15.75" hidden="false" customHeight="true" outlineLevel="0" collapsed="false">
      <c r="A172" s="13" t="s">
        <v>161</v>
      </c>
      <c r="B172" s="13" t="s">
        <v>162</v>
      </c>
      <c r="C172" s="13"/>
      <c r="D172" s="13"/>
      <c r="E172" s="13"/>
      <c r="F172" s="13"/>
      <c r="G172" s="13"/>
      <c r="H172" s="13" t="s">
        <v>163</v>
      </c>
      <c r="I172" s="13" t="s">
        <v>42</v>
      </c>
    </row>
    <row r="173" customFormat="false" ht="15.75" hidden="false" customHeight="true" outlineLevel="0" collapsed="false">
      <c r="A173" s="14" t="s">
        <v>361</v>
      </c>
      <c r="B173" s="14" t="s">
        <v>362</v>
      </c>
      <c r="C173" s="14"/>
      <c r="D173" s="14"/>
      <c r="E173" s="14"/>
      <c r="F173" s="14"/>
      <c r="G173" s="14"/>
      <c r="H173" s="14"/>
      <c r="I173" s="14"/>
    </row>
    <row r="174" customFormat="false" ht="15.75" hidden="false" customHeight="true" outlineLevel="0" collapsed="false">
      <c r="A174" s="14" t="s">
        <v>363</v>
      </c>
      <c r="B174" s="14" t="s">
        <v>364</v>
      </c>
      <c r="C174" s="14"/>
      <c r="D174" s="14"/>
      <c r="E174" s="14"/>
      <c r="F174" s="14"/>
      <c r="G174" s="14"/>
      <c r="H174" s="14"/>
      <c r="I174" s="14"/>
    </row>
    <row r="175" customFormat="false" ht="15.75" hidden="false" customHeight="true" outlineLevel="0" collapsed="false">
      <c r="A175" s="14" t="s">
        <v>365</v>
      </c>
      <c r="B175" s="14" t="s">
        <v>366</v>
      </c>
      <c r="C175" s="14"/>
      <c r="D175" s="14"/>
      <c r="E175" s="14"/>
      <c r="F175" s="14"/>
      <c r="G175" s="14"/>
      <c r="H175" s="14"/>
      <c r="I175" s="14"/>
    </row>
    <row r="176" customFormat="false" ht="15.75" hidden="false" customHeight="true" outlineLevel="0" collapsed="false">
      <c r="A176" s="2"/>
      <c r="B176" s="2"/>
      <c r="C176" s="2"/>
      <c r="D176" s="2"/>
      <c r="E176" s="2"/>
      <c r="F176" s="2"/>
      <c r="G176" s="2"/>
      <c r="H176" s="2"/>
      <c r="I176" s="2"/>
    </row>
    <row r="177" customFormat="false" ht="15.75" hidden="false" customHeight="true" outlineLevel="0" collapsed="false">
      <c r="A177" s="2"/>
      <c r="B177" s="2"/>
      <c r="C177" s="2"/>
      <c r="D177" s="2"/>
      <c r="E177" s="2"/>
      <c r="F177" s="2"/>
      <c r="G177" s="2"/>
      <c r="H177" s="2"/>
      <c r="I177" s="2"/>
    </row>
    <row r="178" customFormat="false" ht="15.75" hidden="false" customHeight="true" outlineLevel="0" collapsed="false">
      <c r="A178" s="2"/>
      <c r="B178" s="2"/>
      <c r="C178" s="2"/>
      <c r="D178" s="2"/>
      <c r="E178" s="2"/>
      <c r="F178" s="2"/>
      <c r="G178" s="2"/>
      <c r="H178" s="2"/>
      <c r="I178" s="2"/>
    </row>
    <row r="179" customFormat="false" ht="15.75" hidden="false" customHeight="true" outlineLevel="0" collapsed="false">
      <c r="A179" s="2"/>
      <c r="B179" s="2"/>
      <c r="C179" s="2"/>
      <c r="D179" s="2"/>
      <c r="E179" s="2"/>
      <c r="F179" s="2"/>
      <c r="G179" s="2"/>
      <c r="H179" s="2"/>
      <c r="I179" s="2"/>
    </row>
    <row r="180" customFormat="false" ht="15.75" hidden="false" customHeight="true" outlineLevel="0" collapsed="false">
      <c r="A180" s="2"/>
      <c r="B180" s="2"/>
      <c r="C180" s="2"/>
      <c r="D180" s="2"/>
      <c r="E180" s="2"/>
      <c r="F180" s="2"/>
      <c r="G180" s="2"/>
      <c r="H180" s="2"/>
      <c r="I180" s="2"/>
    </row>
    <row r="181" customFormat="false" ht="15.75" hidden="false" customHeight="true" outlineLevel="0" collapsed="false">
      <c r="A181" s="2"/>
      <c r="B181" s="2"/>
      <c r="C181" s="2"/>
      <c r="D181" s="2"/>
      <c r="E181" s="2"/>
      <c r="F181" s="2"/>
      <c r="G181" s="2"/>
      <c r="H181" s="2"/>
      <c r="I181" s="2"/>
    </row>
    <row r="182" customFormat="false" ht="15.75" hidden="false" customHeight="true" outlineLevel="0" collapsed="false">
      <c r="A182" s="2"/>
      <c r="B182" s="2"/>
      <c r="C182" s="2"/>
      <c r="D182" s="2"/>
      <c r="E182" s="2"/>
      <c r="F182" s="2"/>
      <c r="G182" s="2"/>
      <c r="H182" s="2"/>
      <c r="I182" s="2"/>
    </row>
    <row r="183" customFormat="false" ht="15.75" hidden="false" customHeight="true" outlineLevel="0" collapsed="false">
      <c r="A183" s="2"/>
      <c r="B183" s="2"/>
      <c r="C183" s="2"/>
      <c r="D183" s="2"/>
      <c r="E183" s="2"/>
      <c r="F183" s="2"/>
      <c r="G183" s="2"/>
      <c r="H183" s="2"/>
      <c r="I183" s="2"/>
    </row>
    <row r="184" customFormat="false" ht="15.75" hidden="false" customHeight="true" outlineLevel="0" collapsed="false">
      <c r="A184" s="2"/>
      <c r="B184" s="2"/>
      <c r="C184" s="2"/>
      <c r="D184" s="2"/>
      <c r="E184" s="2"/>
      <c r="F184" s="2"/>
      <c r="G184" s="2"/>
      <c r="H184" s="2"/>
      <c r="I184" s="2"/>
    </row>
    <row r="185" customFormat="false" ht="15.75" hidden="false" customHeight="true" outlineLevel="0" collapsed="false">
      <c r="A185" s="2"/>
      <c r="B185" s="2"/>
      <c r="C185" s="2"/>
      <c r="D185" s="2"/>
      <c r="E185" s="2"/>
      <c r="F185" s="2"/>
      <c r="G185" s="2"/>
      <c r="H185" s="2"/>
      <c r="I185" s="2"/>
    </row>
    <row r="186" customFormat="false" ht="15.75" hidden="false" customHeight="true" outlineLevel="0" collapsed="false">
      <c r="A186" s="2"/>
      <c r="B186" s="2"/>
      <c r="C186" s="2"/>
      <c r="D186" s="2"/>
      <c r="E186" s="2"/>
      <c r="F186" s="2"/>
      <c r="G186" s="2"/>
      <c r="H186" s="2"/>
      <c r="I186" s="2"/>
    </row>
    <row r="187" customFormat="false" ht="15.75" hidden="false" customHeight="true" outlineLevel="0" collapsed="false">
      <c r="A187" s="2"/>
      <c r="B187" s="2"/>
      <c r="C187" s="2"/>
      <c r="D187" s="2"/>
      <c r="E187" s="2"/>
      <c r="F187" s="2"/>
      <c r="G187" s="2"/>
      <c r="H187" s="2"/>
      <c r="I187" s="2"/>
    </row>
    <row r="188" customFormat="false" ht="15.75" hidden="false" customHeight="true" outlineLevel="0" collapsed="false">
      <c r="A188" s="2"/>
      <c r="B188" s="2"/>
      <c r="C188" s="2"/>
      <c r="D188" s="2"/>
      <c r="E188" s="2"/>
      <c r="F188" s="2"/>
      <c r="G188" s="2"/>
      <c r="H188" s="2"/>
      <c r="I188" s="2"/>
    </row>
    <row r="189" customFormat="false" ht="15.75" hidden="false" customHeight="true" outlineLevel="0" collapsed="false">
      <c r="A189" s="2"/>
      <c r="B189" s="2"/>
      <c r="C189" s="2"/>
      <c r="D189" s="2"/>
      <c r="E189" s="2"/>
      <c r="F189" s="2"/>
      <c r="G189" s="2"/>
      <c r="H189" s="2"/>
      <c r="I189" s="2"/>
    </row>
    <row r="190" customFormat="false" ht="15.75" hidden="false" customHeight="true" outlineLevel="0" collapsed="false">
      <c r="A190" s="2"/>
      <c r="B190" s="2"/>
      <c r="C190" s="2"/>
      <c r="D190" s="2"/>
      <c r="E190" s="2"/>
      <c r="F190" s="2"/>
      <c r="G190" s="2"/>
      <c r="H190" s="2"/>
      <c r="I190" s="2"/>
    </row>
    <row r="191" customFormat="false" ht="15.75" hidden="false" customHeight="true" outlineLevel="0" collapsed="false">
      <c r="A191" s="2"/>
      <c r="B191" s="2"/>
      <c r="C191" s="2"/>
      <c r="D191" s="2"/>
      <c r="E191" s="2"/>
      <c r="F191" s="2"/>
      <c r="G191" s="2"/>
      <c r="H191" s="2"/>
      <c r="I191" s="2"/>
    </row>
    <row r="192" customFormat="false" ht="15.75" hidden="false" customHeight="true" outlineLevel="0" collapsed="false">
      <c r="A192" s="2"/>
      <c r="B192" s="2"/>
      <c r="C192" s="2"/>
      <c r="D192" s="2"/>
      <c r="E192" s="2"/>
      <c r="F192" s="2"/>
      <c r="G192" s="2"/>
      <c r="H192" s="2"/>
      <c r="I192" s="2"/>
    </row>
    <row r="193" customFormat="false" ht="15.75" hidden="false" customHeight="true" outlineLevel="0" collapsed="false">
      <c r="A193" s="2"/>
      <c r="B193" s="2"/>
      <c r="C193" s="2"/>
      <c r="D193" s="2"/>
      <c r="E193" s="2"/>
      <c r="F193" s="2"/>
      <c r="G193" s="2"/>
      <c r="H193" s="2"/>
      <c r="I193" s="2"/>
    </row>
    <row r="194" customFormat="false" ht="15.75" hidden="false" customHeight="true" outlineLevel="0" collapsed="false">
      <c r="A194" s="2"/>
      <c r="B194" s="2"/>
      <c r="C194" s="2"/>
      <c r="D194" s="2"/>
      <c r="E194" s="2"/>
      <c r="F194" s="2"/>
      <c r="G194" s="2"/>
      <c r="H194" s="2"/>
      <c r="I194" s="2"/>
    </row>
    <row r="195" customFormat="false" ht="15.75" hidden="false" customHeight="true" outlineLevel="0" collapsed="false">
      <c r="A195" s="2"/>
      <c r="B195" s="2"/>
      <c r="C195" s="2"/>
      <c r="D195" s="2"/>
      <c r="E195" s="2"/>
      <c r="F195" s="2"/>
      <c r="G195" s="2"/>
      <c r="H195" s="2"/>
      <c r="I195" s="2"/>
    </row>
    <row r="196" customFormat="false" ht="15.75" hidden="false" customHeight="true" outlineLevel="0" collapsed="false">
      <c r="A196" s="2"/>
      <c r="B196" s="2"/>
      <c r="C196" s="2"/>
      <c r="D196" s="2"/>
      <c r="E196" s="2"/>
      <c r="F196" s="2"/>
      <c r="G196" s="2"/>
      <c r="H196" s="2"/>
      <c r="I196" s="2"/>
    </row>
    <row r="197" customFormat="false" ht="15.75" hidden="false" customHeight="true" outlineLevel="0" collapsed="false">
      <c r="A197" s="2"/>
      <c r="B197" s="2"/>
      <c r="C197" s="2"/>
      <c r="D197" s="2"/>
      <c r="E197" s="2"/>
      <c r="F197" s="2"/>
      <c r="G197" s="2"/>
      <c r="H197" s="2"/>
      <c r="I197" s="2"/>
    </row>
    <row r="198" customFormat="false" ht="15.75" hidden="false" customHeight="true" outlineLevel="0" collapsed="false">
      <c r="A198" s="2"/>
      <c r="B198" s="2"/>
      <c r="C198" s="2"/>
      <c r="D198" s="2"/>
      <c r="E198" s="2"/>
      <c r="F198" s="2"/>
      <c r="G198" s="2"/>
      <c r="H198" s="2"/>
      <c r="I198" s="2"/>
    </row>
    <row r="199" customFormat="false" ht="15.75" hidden="false" customHeight="true" outlineLevel="0" collapsed="false">
      <c r="A199" s="2"/>
      <c r="B199" s="2"/>
      <c r="C199" s="2"/>
      <c r="D199" s="2"/>
      <c r="E199" s="2"/>
      <c r="F199" s="2"/>
      <c r="G199" s="2"/>
      <c r="H199" s="2"/>
      <c r="I199" s="2"/>
    </row>
    <row r="200" customFormat="false" ht="15.75" hidden="false" customHeight="true" outlineLevel="0" collapsed="false">
      <c r="A200" s="2"/>
      <c r="B200" s="2"/>
      <c r="C200" s="2"/>
      <c r="D200" s="2"/>
      <c r="E200" s="2"/>
      <c r="F200" s="2"/>
      <c r="G200" s="2"/>
      <c r="H200" s="2"/>
      <c r="I200" s="2"/>
    </row>
    <row r="201" customFormat="false" ht="15.75" hidden="false" customHeight="true" outlineLevel="0" collapsed="false">
      <c r="A201" s="2"/>
      <c r="B201" s="2"/>
      <c r="C201" s="2"/>
      <c r="D201" s="2"/>
      <c r="E201" s="2"/>
      <c r="F201" s="2"/>
      <c r="G201" s="2"/>
      <c r="H201" s="2"/>
      <c r="I201" s="2"/>
    </row>
    <row r="202" customFormat="false" ht="15.75" hidden="false" customHeight="true" outlineLevel="0" collapsed="false">
      <c r="A202" s="2"/>
      <c r="B202" s="2"/>
      <c r="C202" s="2"/>
      <c r="D202" s="2"/>
      <c r="E202" s="2"/>
      <c r="F202" s="2"/>
      <c r="G202" s="2"/>
      <c r="H202" s="2"/>
      <c r="I202" s="2"/>
    </row>
    <row r="203" customFormat="false" ht="15.75" hidden="false" customHeight="true" outlineLevel="0" collapsed="false">
      <c r="A203" s="2"/>
      <c r="B203" s="2"/>
      <c r="C203" s="2"/>
      <c r="D203" s="2"/>
      <c r="E203" s="2"/>
      <c r="F203" s="2"/>
      <c r="G203" s="2"/>
      <c r="H203" s="2"/>
      <c r="I203" s="2"/>
    </row>
    <row r="204" customFormat="false" ht="15.75" hidden="false" customHeight="true" outlineLevel="0" collapsed="false">
      <c r="A204" s="2"/>
      <c r="B204" s="2"/>
      <c r="C204" s="2"/>
      <c r="D204" s="2"/>
      <c r="E204" s="2"/>
      <c r="F204" s="2"/>
      <c r="G204" s="2"/>
      <c r="H204" s="2"/>
      <c r="I204" s="2"/>
    </row>
    <row r="205" customFormat="false" ht="15.75" hidden="false" customHeight="true" outlineLevel="0" collapsed="false">
      <c r="A205" s="2"/>
      <c r="B205" s="2"/>
      <c r="C205" s="2"/>
      <c r="D205" s="2"/>
      <c r="E205" s="2"/>
      <c r="F205" s="2"/>
      <c r="G205" s="2"/>
      <c r="H205" s="2"/>
      <c r="I205" s="2"/>
    </row>
    <row r="206" customFormat="false" ht="15.75" hidden="false" customHeight="true" outlineLevel="0" collapsed="false">
      <c r="A206" s="2"/>
      <c r="B206" s="2"/>
      <c r="C206" s="2"/>
      <c r="D206" s="2"/>
      <c r="E206" s="2"/>
      <c r="F206" s="2"/>
      <c r="G206" s="2"/>
      <c r="H206" s="2"/>
      <c r="I206" s="2"/>
    </row>
    <row r="207" customFormat="false" ht="15.75" hidden="false" customHeight="true" outlineLevel="0" collapsed="false">
      <c r="A207" s="2"/>
      <c r="B207" s="2"/>
      <c r="C207" s="2"/>
      <c r="D207" s="2"/>
      <c r="E207" s="2"/>
      <c r="F207" s="2"/>
      <c r="G207" s="2"/>
      <c r="H207" s="2"/>
      <c r="I207" s="2"/>
    </row>
    <row r="208" customFormat="false" ht="15.75" hidden="false" customHeight="true" outlineLevel="0" collapsed="false">
      <c r="A208" s="2"/>
      <c r="B208" s="2"/>
      <c r="C208" s="2"/>
      <c r="D208" s="2"/>
      <c r="E208" s="2"/>
      <c r="F208" s="2"/>
      <c r="G208" s="2"/>
      <c r="H208" s="2"/>
      <c r="I208" s="2"/>
    </row>
    <row r="209" customFormat="false" ht="15.75" hidden="false" customHeight="true" outlineLevel="0" collapsed="false">
      <c r="A209" s="2"/>
      <c r="B209" s="2"/>
      <c r="C209" s="2"/>
      <c r="D209" s="2"/>
      <c r="E209" s="2"/>
      <c r="F209" s="2"/>
      <c r="G209" s="2"/>
      <c r="H209" s="2"/>
      <c r="I209" s="2"/>
    </row>
    <row r="210" customFormat="false" ht="15.75" hidden="false" customHeight="true" outlineLevel="0" collapsed="false">
      <c r="A210" s="2"/>
      <c r="B210" s="2"/>
      <c r="C210" s="2"/>
      <c r="D210" s="2"/>
      <c r="E210" s="2"/>
      <c r="F210" s="2"/>
      <c r="G210" s="2"/>
      <c r="H210" s="2"/>
      <c r="I210" s="2"/>
    </row>
    <row r="211" customFormat="false" ht="15.75" hidden="false" customHeight="true" outlineLevel="0" collapsed="false">
      <c r="A211" s="2"/>
      <c r="B211" s="2"/>
      <c r="C211" s="2"/>
      <c r="D211" s="2"/>
      <c r="E211" s="2"/>
      <c r="F211" s="2"/>
      <c r="G211" s="2"/>
      <c r="H211" s="2"/>
      <c r="I211" s="2"/>
    </row>
    <row r="212" customFormat="false" ht="15.75" hidden="false" customHeight="true" outlineLevel="0" collapsed="false">
      <c r="A212" s="2"/>
      <c r="B212" s="2"/>
      <c r="C212" s="2"/>
      <c r="D212" s="2"/>
      <c r="E212" s="2"/>
      <c r="F212" s="2"/>
      <c r="G212" s="2"/>
      <c r="H212" s="2"/>
      <c r="I212" s="2"/>
    </row>
    <row r="213" customFormat="false" ht="15.75" hidden="false" customHeight="true" outlineLevel="0" collapsed="false">
      <c r="A213" s="2"/>
      <c r="B213" s="2"/>
      <c r="C213" s="2"/>
      <c r="D213" s="2"/>
      <c r="E213" s="2"/>
      <c r="F213" s="2"/>
      <c r="G213" s="2"/>
      <c r="H213" s="2"/>
      <c r="I213" s="2"/>
    </row>
    <row r="214" customFormat="false" ht="15.75" hidden="false" customHeight="true" outlineLevel="0" collapsed="false">
      <c r="A214" s="2"/>
      <c r="B214" s="2"/>
      <c r="C214" s="2"/>
      <c r="D214" s="2"/>
      <c r="E214" s="2"/>
      <c r="F214" s="2"/>
      <c r="G214" s="2"/>
      <c r="H214" s="2"/>
      <c r="I214" s="2"/>
    </row>
    <row r="215" customFormat="false" ht="15.75" hidden="false" customHeight="true" outlineLevel="0" collapsed="false">
      <c r="A215" s="2"/>
      <c r="B215" s="2"/>
      <c r="C215" s="2"/>
      <c r="D215" s="2"/>
      <c r="E215" s="2"/>
      <c r="F215" s="2"/>
      <c r="G215" s="2"/>
      <c r="H215" s="2"/>
      <c r="I215" s="2"/>
    </row>
    <row r="216" customFormat="false" ht="15.75" hidden="false" customHeight="true" outlineLevel="0" collapsed="false">
      <c r="A216" s="2"/>
      <c r="B216" s="2"/>
      <c r="C216" s="2"/>
      <c r="D216" s="2"/>
      <c r="E216" s="2"/>
      <c r="F216" s="2"/>
      <c r="G216" s="2"/>
      <c r="H216" s="2"/>
      <c r="I216" s="2"/>
    </row>
    <row r="217" customFormat="false" ht="15.75" hidden="false" customHeight="true" outlineLevel="0" collapsed="false">
      <c r="A217" s="2"/>
      <c r="B217" s="2"/>
      <c r="C217" s="2"/>
      <c r="D217" s="2"/>
      <c r="E217" s="2"/>
      <c r="F217" s="2"/>
      <c r="G217" s="2"/>
      <c r="H217" s="2"/>
      <c r="I217" s="2"/>
    </row>
    <row r="218" customFormat="false" ht="15.75" hidden="false" customHeight="true" outlineLevel="0" collapsed="false">
      <c r="A218" s="2"/>
      <c r="B218" s="2"/>
      <c r="C218" s="2"/>
      <c r="D218" s="2"/>
      <c r="E218" s="2"/>
      <c r="F218" s="2"/>
      <c r="G218" s="2"/>
      <c r="H218" s="2"/>
      <c r="I218" s="2"/>
    </row>
    <row r="219" customFormat="false" ht="15.75" hidden="false" customHeight="true" outlineLevel="0" collapsed="false">
      <c r="A219" s="2"/>
      <c r="B219" s="2"/>
      <c r="C219" s="2"/>
      <c r="D219" s="2"/>
      <c r="E219" s="2"/>
      <c r="F219" s="2"/>
      <c r="G219" s="2"/>
      <c r="H219" s="2"/>
      <c r="I219" s="2"/>
    </row>
    <row r="220" customFormat="false" ht="15.75" hidden="false" customHeight="true" outlineLevel="0" collapsed="false">
      <c r="A220" s="2"/>
      <c r="B220" s="2"/>
      <c r="C220" s="2"/>
      <c r="D220" s="2"/>
      <c r="E220" s="2"/>
      <c r="F220" s="2"/>
      <c r="G220" s="2"/>
      <c r="H220" s="2"/>
      <c r="I220" s="2"/>
    </row>
    <row r="221" customFormat="false" ht="15.75" hidden="false" customHeight="true" outlineLevel="0" collapsed="false">
      <c r="A221" s="2"/>
      <c r="B221" s="2"/>
      <c r="C221" s="2"/>
      <c r="D221" s="2"/>
      <c r="E221" s="2"/>
      <c r="F221" s="2"/>
      <c r="G221" s="2"/>
      <c r="H221" s="2"/>
      <c r="I221" s="2"/>
    </row>
    <row r="222" customFormat="false" ht="15.75" hidden="false" customHeight="true" outlineLevel="0" collapsed="false">
      <c r="A222" s="2"/>
      <c r="B222" s="2"/>
      <c r="C222" s="2"/>
      <c r="D222" s="2"/>
      <c r="E222" s="2"/>
      <c r="F222" s="2"/>
      <c r="G222" s="2"/>
      <c r="H222" s="2"/>
      <c r="I222" s="2"/>
    </row>
    <row r="223" customFormat="false" ht="15.75" hidden="false" customHeight="true" outlineLevel="0" collapsed="false">
      <c r="A223" s="2"/>
      <c r="B223" s="2"/>
      <c r="C223" s="2"/>
      <c r="D223" s="2"/>
      <c r="E223" s="2"/>
      <c r="F223" s="2"/>
      <c r="G223" s="2"/>
      <c r="H223" s="2"/>
      <c r="I223" s="2"/>
    </row>
    <row r="224" customFormat="false" ht="15.75" hidden="false" customHeight="true" outlineLevel="0" collapsed="false">
      <c r="A224" s="2"/>
      <c r="B224" s="2"/>
      <c r="C224" s="2"/>
      <c r="D224" s="2"/>
      <c r="E224" s="2"/>
      <c r="F224" s="2"/>
      <c r="G224" s="2"/>
      <c r="H224" s="2"/>
      <c r="I224" s="2"/>
    </row>
    <row r="225" customFormat="false" ht="15.75" hidden="false" customHeight="true" outlineLevel="0" collapsed="false">
      <c r="A225" s="2"/>
      <c r="B225" s="2"/>
      <c r="C225" s="2"/>
      <c r="D225" s="2"/>
      <c r="E225" s="2"/>
      <c r="F225" s="2"/>
      <c r="G225" s="2"/>
      <c r="H225" s="2"/>
      <c r="I225" s="2"/>
    </row>
    <row r="226" customFormat="false" ht="15.75" hidden="false" customHeight="true" outlineLevel="0" collapsed="false">
      <c r="A226" s="2"/>
      <c r="B226" s="2"/>
      <c r="C226" s="2"/>
      <c r="D226" s="2"/>
      <c r="E226" s="2"/>
      <c r="F226" s="2"/>
      <c r="G226" s="2"/>
      <c r="H226" s="2"/>
      <c r="I226" s="2"/>
    </row>
    <row r="227" customFormat="false" ht="15.75" hidden="false" customHeight="true" outlineLevel="0" collapsed="false">
      <c r="A227" s="2"/>
      <c r="B227" s="2"/>
      <c r="C227" s="2"/>
      <c r="D227" s="2"/>
      <c r="E227" s="2"/>
      <c r="F227" s="2"/>
      <c r="G227" s="2"/>
      <c r="H227" s="2"/>
      <c r="I227" s="2"/>
    </row>
    <row r="228" customFormat="false" ht="15.75" hidden="false" customHeight="true" outlineLevel="0" collapsed="false">
      <c r="A228" s="2"/>
      <c r="B228" s="2"/>
      <c r="C228" s="2"/>
      <c r="D228" s="2"/>
      <c r="E228" s="2"/>
      <c r="F228" s="2"/>
      <c r="G228" s="2"/>
      <c r="H228" s="2"/>
      <c r="I228" s="2"/>
    </row>
    <row r="229" customFormat="false" ht="15.75" hidden="false" customHeight="true" outlineLevel="0" collapsed="false">
      <c r="A229" s="2"/>
      <c r="B229" s="2"/>
      <c r="C229" s="2"/>
      <c r="D229" s="2"/>
      <c r="E229" s="2"/>
      <c r="F229" s="2"/>
      <c r="G229" s="2"/>
      <c r="H229" s="2"/>
      <c r="I229" s="2"/>
    </row>
    <row r="230" customFormat="false" ht="15.75" hidden="false" customHeight="true" outlineLevel="0" collapsed="false">
      <c r="A230" s="2"/>
      <c r="B230" s="2"/>
      <c r="C230" s="2"/>
      <c r="D230" s="2"/>
      <c r="E230" s="2"/>
      <c r="F230" s="2"/>
      <c r="G230" s="2"/>
      <c r="H230" s="2"/>
      <c r="I230" s="2"/>
    </row>
    <row r="231" customFormat="false" ht="15.75" hidden="false" customHeight="true" outlineLevel="0" collapsed="false">
      <c r="A231" s="2"/>
      <c r="B231" s="2"/>
      <c r="C231" s="2"/>
      <c r="D231" s="2"/>
      <c r="E231" s="2"/>
      <c r="F231" s="2"/>
      <c r="G231" s="2"/>
      <c r="H231" s="2"/>
      <c r="I231" s="2"/>
    </row>
    <row r="232" customFormat="false" ht="15.75" hidden="false" customHeight="true" outlineLevel="0" collapsed="false">
      <c r="A232" s="2"/>
      <c r="B232" s="2"/>
      <c r="C232" s="2"/>
      <c r="D232" s="2"/>
      <c r="E232" s="2"/>
      <c r="F232" s="2"/>
      <c r="G232" s="2"/>
      <c r="H232" s="2"/>
      <c r="I232" s="2"/>
    </row>
    <row r="233" customFormat="false" ht="15.75" hidden="false" customHeight="true" outlineLevel="0" collapsed="false">
      <c r="A233" s="2"/>
      <c r="B233" s="2"/>
      <c r="C233" s="2"/>
      <c r="D233" s="2"/>
      <c r="E233" s="2"/>
      <c r="F233" s="2"/>
      <c r="G233" s="2"/>
      <c r="H233" s="2"/>
      <c r="I233" s="2"/>
    </row>
    <row r="234" customFormat="false" ht="15.75" hidden="false" customHeight="true" outlineLevel="0" collapsed="false">
      <c r="A234" s="2"/>
      <c r="B234" s="2"/>
      <c r="C234" s="2"/>
      <c r="D234" s="2"/>
      <c r="E234" s="2"/>
      <c r="F234" s="2"/>
      <c r="G234" s="2"/>
      <c r="H234" s="2"/>
      <c r="I234" s="2"/>
    </row>
    <row r="235" customFormat="false" ht="15.75" hidden="false" customHeight="true" outlineLevel="0" collapsed="false">
      <c r="A235" s="2"/>
      <c r="B235" s="2"/>
      <c r="C235" s="2"/>
      <c r="D235" s="2"/>
      <c r="E235" s="2"/>
      <c r="F235" s="2"/>
      <c r="G235" s="2"/>
      <c r="H235" s="2"/>
      <c r="I235" s="2"/>
    </row>
    <row r="236" customFormat="false" ht="15.75" hidden="false" customHeight="true" outlineLevel="0" collapsed="false">
      <c r="A236" s="2"/>
      <c r="B236" s="2"/>
      <c r="C236" s="2"/>
      <c r="D236" s="2"/>
      <c r="E236" s="2"/>
      <c r="F236" s="2"/>
      <c r="G236" s="2"/>
      <c r="H236" s="2"/>
      <c r="I236" s="2"/>
    </row>
    <row r="237" customFormat="false" ht="15.75" hidden="false" customHeight="true" outlineLevel="0" collapsed="false">
      <c r="A237" s="2"/>
      <c r="B237" s="2"/>
      <c r="C237" s="2"/>
      <c r="D237" s="2"/>
      <c r="E237" s="2"/>
      <c r="F237" s="2"/>
      <c r="G237" s="2"/>
      <c r="H237" s="2"/>
      <c r="I237" s="2"/>
    </row>
    <row r="238" customFormat="false" ht="15.75" hidden="false" customHeight="true" outlineLevel="0" collapsed="false">
      <c r="A238" s="2"/>
      <c r="B238" s="2"/>
      <c r="C238" s="2"/>
      <c r="D238" s="2"/>
      <c r="E238" s="2"/>
      <c r="F238" s="2"/>
      <c r="G238" s="2"/>
      <c r="H238" s="2"/>
      <c r="I238" s="2"/>
    </row>
    <row r="239" customFormat="false" ht="15.75" hidden="false" customHeight="true" outlineLevel="0" collapsed="false">
      <c r="A239" s="2"/>
      <c r="B239" s="2"/>
      <c r="C239" s="2"/>
      <c r="D239" s="2"/>
      <c r="E239" s="2"/>
      <c r="F239" s="2"/>
      <c r="G239" s="2"/>
      <c r="H239" s="2"/>
      <c r="I239" s="2"/>
    </row>
    <row r="240" customFormat="false" ht="15.75" hidden="false" customHeight="true" outlineLevel="0" collapsed="false">
      <c r="A240" s="2"/>
      <c r="B240" s="2"/>
      <c r="C240" s="2"/>
      <c r="D240" s="2"/>
      <c r="E240" s="2"/>
      <c r="F240" s="2"/>
      <c r="G240" s="2"/>
      <c r="H240" s="2"/>
      <c r="I240" s="2"/>
    </row>
    <row r="241" customFormat="false" ht="15.75" hidden="false" customHeight="true" outlineLevel="0" collapsed="false">
      <c r="A241" s="2"/>
      <c r="B241" s="2"/>
      <c r="C241" s="2"/>
      <c r="D241" s="2"/>
      <c r="E241" s="2"/>
      <c r="F241" s="2"/>
      <c r="G241" s="2"/>
      <c r="H241" s="2"/>
      <c r="I241" s="2"/>
    </row>
    <row r="242" customFormat="false" ht="15.75" hidden="false" customHeight="true" outlineLevel="0" collapsed="false">
      <c r="A242" s="2"/>
      <c r="B242" s="2"/>
      <c r="C242" s="2"/>
      <c r="D242" s="2"/>
      <c r="E242" s="2"/>
      <c r="F242" s="2"/>
      <c r="G242" s="2"/>
      <c r="H242" s="2"/>
      <c r="I242" s="2"/>
    </row>
    <row r="243" customFormat="false" ht="15.75" hidden="false" customHeight="true" outlineLevel="0" collapsed="false">
      <c r="A243" s="2"/>
      <c r="B243" s="2"/>
      <c r="C243" s="2"/>
      <c r="D243" s="2"/>
      <c r="E243" s="2"/>
      <c r="F243" s="2"/>
      <c r="G243" s="2"/>
      <c r="H243" s="2"/>
      <c r="I243" s="2"/>
    </row>
    <row r="244" customFormat="false" ht="15.75" hidden="false" customHeight="true" outlineLevel="0" collapsed="false">
      <c r="A244" s="2"/>
      <c r="B244" s="2"/>
      <c r="C244" s="2"/>
      <c r="D244" s="2"/>
      <c r="E244" s="2"/>
      <c r="F244" s="2"/>
      <c r="G244" s="2"/>
      <c r="H244" s="2"/>
      <c r="I244" s="2"/>
    </row>
    <row r="245" customFormat="false" ht="15.75" hidden="false" customHeight="true" outlineLevel="0" collapsed="false">
      <c r="A245" s="2"/>
      <c r="B245" s="2"/>
      <c r="C245" s="2"/>
      <c r="D245" s="2"/>
      <c r="E245" s="2"/>
      <c r="F245" s="2"/>
      <c r="G245" s="2"/>
      <c r="H245" s="2"/>
      <c r="I245" s="2"/>
    </row>
    <row r="246" customFormat="false" ht="15.75" hidden="false" customHeight="true" outlineLevel="0" collapsed="false">
      <c r="A246" s="2"/>
      <c r="B246" s="2"/>
      <c r="C246" s="2"/>
      <c r="D246" s="2"/>
      <c r="E246" s="2"/>
      <c r="F246" s="2"/>
      <c r="G246" s="2"/>
      <c r="H246" s="2"/>
      <c r="I246" s="2"/>
    </row>
    <row r="247" customFormat="false" ht="15.75" hidden="false" customHeight="true" outlineLevel="0" collapsed="false">
      <c r="A247" s="2"/>
      <c r="B247" s="2"/>
      <c r="C247" s="2"/>
      <c r="D247" s="2"/>
      <c r="E247" s="2"/>
      <c r="F247" s="2"/>
      <c r="G247" s="2"/>
      <c r="H247" s="2"/>
      <c r="I247" s="2"/>
    </row>
    <row r="248" customFormat="false" ht="15.75" hidden="false" customHeight="true" outlineLevel="0" collapsed="false">
      <c r="A248" s="2"/>
      <c r="B248" s="2"/>
      <c r="C248" s="2"/>
      <c r="D248" s="2"/>
      <c r="E248" s="2"/>
      <c r="F248" s="2"/>
      <c r="G248" s="2"/>
      <c r="H248" s="2"/>
      <c r="I248" s="2"/>
    </row>
    <row r="249" customFormat="false" ht="15.75" hidden="false" customHeight="true" outlineLevel="0" collapsed="false">
      <c r="A249" s="2"/>
      <c r="B249" s="2"/>
      <c r="C249" s="2"/>
      <c r="D249" s="2"/>
      <c r="E249" s="2"/>
      <c r="F249" s="2"/>
      <c r="G249" s="2"/>
      <c r="H249" s="2"/>
      <c r="I249" s="2"/>
    </row>
    <row r="250" customFormat="false" ht="15.75" hidden="false" customHeight="true" outlineLevel="0" collapsed="false">
      <c r="A250" s="2"/>
      <c r="B250" s="2"/>
      <c r="C250" s="2"/>
      <c r="D250" s="2"/>
      <c r="E250" s="2"/>
      <c r="F250" s="2"/>
      <c r="G250" s="2"/>
      <c r="H250" s="2"/>
      <c r="I250" s="2"/>
    </row>
    <row r="251" customFormat="false" ht="15.75" hidden="false" customHeight="true" outlineLevel="0" collapsed="false">
      <c r="A251" s="2"/>
      <c r="B251" s="2"/>
      <c r="C251" s="2"/>
      <c r="D251" s="2"/>
      <c r="E251" s="2"/>
      <c r="F251" s="2"/>
      <c r="G251" s="2"/>
      <c r="H251" s="2"/>
      <c r="I251" s="2"/>
    </row>
    <row r="252" customFormat="false" ht="15.75" hidden="false" customHeight="true" outlineLevel="0" collapsed="false">
      <c r="A252" s="2"/>
      <c r="B252" s="2"/>
      <c r="C252" s="2"/>
      <c r="D252" s="2"/>
      <c r="E252" s="2"/>
      <c r="F252" s="2"/>
      <c r="G252" s="2"/>
      <c r="H252" s="2"/>
      <c r="I252" s="2"/>
    </row>
    <row r="253" customFormat="false" ht="15.75" hidden="false" customHeight="true" outlineLevel="0" collapsed="false">
      <c r="A253" s="2"/>
      <c r="B253" s="2"/>
      <c r="C253" s="2"/>
      <c r="D253" s="2"/>
      <c r="E253" s="2"/>
      <c r="F253" s="2"/>
      <c r="G253" s="2"/>
      <c r="H253" s="2"/>
      <c r="I253" s="2"/>
    </row>
    <row r="254" customFormat="false" ht="15.75" hidden="false" customHeight="true" outlineLevel="0" collapsed="false">
      <c r="A254" s="2"/>
      <c r="B254" s="2"/>
      <c r="C254" s="2"/>
      <c r="D254" s="2"/>
      <c r="E254" s="2"/>
      <c r="F254" s="2"/>
      <c r="G254" s="2"/>
      <c r="H254" s="2"/>
      <c r="I254" s="2"/>
    </row>
    <row r="255" customFormat="false" ht="15.75" hidden="false" customHeight="true" outlineLevel="0" collapsed="false">
      <c r="A255" s="2"/>
      <c r="B255" s="2"/>
      <c r="C255" s="2"/>
      <c r="D255" s="2"/>
      <c r="E255" s="2"/>
      <c r="F255" s="2"/>
      <c r="G255" s="2"/>
      <c r="H255" s="2"/>
      <c r="I255" s="2"/>
    </row>
    <row r="256" customFormat="false" ht="15.75" hidden="false" customHeight="true" outlineLevel="0" collapsed="false">
      <c r="A256" s="2"/>
      <c r="B256" s="2"/>
      <c r="C256" s="2"/>
      <c r="D256" s="2"/>
      <c r="E256" s="2"/>
      <c r="F256" s="2"/>
      <c r="G256" s="2"/>
      <c r="H256" s="2"/>
      <c r="I256" s="2"/>
    </row>
    <row r="257" customFormat="false" ht="15.75" hidden="false" customHeight="true" outlineLevel="0" collapsed="false">
      <c r="A257" s="2"/>
      <c r="B257" s="2"/>
      <c r="C257" s="2"/>
      <c r="D257" s="2"/>
      <c r="E257" s="2"/>
      <c r="F257" s="2"/>
      <c r="G257" s="2"/>
      <c r="H257" s="2"/>
      <c r="I257" s="2"/>
    </row>
    <row r="258" customFormat="false" ht="15.75" hidden="false" customHeight="true" outlineLevel="0" collapsed="false">
      <c r="A258" s="2"/>
      <c r="B258" s="2"/>
      <c r="C258" s="2"/>
      <c r="D258" s="2"/>
      <c r="E258" s="2"/>
      <c r="F258" s="2"/>
      <c r="G258" s="2"/>
      <c r="H258" s="2"/>
      <c r="I258" s="2"/>
    </row>
    <row r="259" customFormat="false" ht="15.75" hidden="false" customHeight="true" outlineLevel="0" collapsed="false">
      <c r="A259" s="2"/>
      <c r="B259" s="2"/>
      <c r="C259" s="2"/>
      <c r="D259" s="2"/>
      <c r="E259" s="2"/>
      <c r="F259" s="2"/>
      <c r="G259" s="2"/>
      <c r="H259" s="2"/>
      <c r="I259" s="2"/>
    </row>
    <row r="260" customFormat="false" ht="15.75" hidden="false" customHeight="true" outlineLevel="0" collapsed="false">
      <c r="A260" s="2"/>
      <c r="B260" s="2"/>
      <c r="C260" s="2"/>
      <c r="D260" s="2"/>
      <c r="E260" s="2"/>
      <c r="F260" s="2"/>
      <c r="G260" s="2"/>
      <c r="H260" s="2"/>
      <c r="I260" s="2"/>
    </row>
    <row r="261" customFormat="false" ht="15.75" hidden="false" customHeight="true" outlineLevel="0" collapsed="false">
      <c r="A261" s="2"/>
      <c r="B261" s="2"/>
      <c r="C261" s="2"/>
      <c r="D261" s="2"/>
      <c r="E261" s="2"/>
      <c r="F261" s="2"/>
      <c r="G261" s="2"/>
      <c r="H261" s="2"/>
      <c r="I261" s="2"/>
    </row>
    <row r="262" customFormat="false" ht="15.75" hidden="false" customHeight="true" outlineLevel="0" collapsed="false">
      <c r="A262" s="2"/>
      <c r="B262" s="2"/>
      <c r="C262" s="2"/>
      <c r="D262" s="2"/>
      <c r="E262" s="2"/>
      <c r="F262" s="2"/>
      <c r="G262" s="2"/>
      <c r="H262" s="2"/>
      <c r="I262" s="2"/>
    </row>
    <row r="263" customFormat="false" ht="15.75" hidden="false" customHeight="true" outlineLevel="0" collapsed="false">
      <c r="A263" s="2"/>
      <c r="B263" s="2"/>
      <c r="C263" s="2"/>
      <c r="D263" s="2"/>
      <c r="E263" s="2"/>
      <c r="F263" s="2"/>
      <c r="G263" s="2"/>
      <c r="H263" s="2"/>
      <c r="I263" s="2"/>
    </row>
    <row r="264" customFormat="false" ht="15.75" hidden="false" customHeight="true" outlineLevel="0" collapsed="false">
      <c r="A264" s="2"/>
      <c r="B264" s="2"/>
      <c r="C264" s="2"/>
      <c r="D264" s="2"/>
      <c r="E264" s="2"/>
      <c r="F264" s="2"/>
      <c r="G264" s="2"/>
      <c r="H264" s="2"/>
      <c r="I264" s="2"/>
    </row>
    <row r="265" customFormat="false" ht="15.75" hidden="false" customHeight="true" outlineLevel="0" collapsed="false">
      <c r="A265" s="2"/>
      <c r="B265" s="2"/>
      <c r="C265" s="2"/>
      <c r="D265" s="2"/>
      <c r="E265" s="2"/>
      <c r="F265" s="2"/>
      <c r="G265" s="2"/>
      <c r="H265" s="2"/>
      <c r="I265" s="2"/>
    </row>
    <row r="266" customFormat="false" ht="15.75" hidden="false" customHeight="true" outlineLevel="0" collapsed="false">
      <c r="A266" s="2"/>
      <c r="B266" s="2"/>
      <c r="C266" s="2"/>
      <c r="D266" s="2"/>
      <c r="E266" s="2"/>
      <c r="F266" s="2"/>
      <c r="G266" s="2"/>
      <c r="H266" s="2"/>
      <c r="I266" s="2"/>
    </row>
    <row r="267" customFormat="false" ht="15.75" hidden="false" customHeight="true" outlineLevel="0" collapsed="false">
      <c r="A267" s="2"/>
      <c r="B267" s="2"/>
      <c r="C267" s="2"/>
      <c r="D267" s="2"/>
      <c r="E267" s="2"/>
      <c r="F267" s="2"/>
      <c r="G267" s="2"/>
      <c r="H267" s="2"/>
      <c r="I267" s="2"/>
    </row>
    <row r="268" customFormat="false" ht="15.75" hidden="false" customHeight="true" outlineLevel="0" collapsed="false">
      <c r="A268" s="2"/>
      <c r="B268" s="2"/>
      <c r="C268" s="2"/>
      <c r="D268" s="2"/>
      <c r="E268" s="2"/>
      <c r="F268" s="2"/>
      <c r="G268" s="2"/>
      <c r="H268" s="2"/>
      <c r="I268" s="2"/>
    </row>
    <row r="269" customFormat="false" ht="15.75" hidden="false" customHeight="true" outlineLevel="0" collapsed="false">
      <c r="A269" s="2"/>
      <c r="B269" s="2"/>
      <c r="C269" s="2"/>
      <c r="D269" s="2"/>
      <c r="E269" s="2"/>
      <c r="F269" s="2"/>
      <c r="G269" s="2"/>
      <c r="H269" s="2"/>
      <c r="I269" s="2"/>
    </row>
    <row r="270" customFormat="false" ht="15.75" hidden="false" customHeight="true" outlineLevel="0" collapsed="false">
      <c r="A270" s="2"/>
      <c r="B270" s="2"/>
      <c r="C270" s="2"/>
      <c r="D270" s="2"/>
      <c r="E270" s="2"/>
      <c r="F270" s="2"/>
      <c r="G270" s="2"/>
      <c r="H270" s="2"/>
      <c r="I270" s="2"/>
    </row>
    <row r="271" customFormat="false" ht="15.75" hidden="false" customHeight="true" outlineLevel="0" collapsed="false">
      <c r="A271" s="2"/>
      <c r="B271" s="2"/>
      <c r="C271" s="2"/>
      <c r="D271" s="2"/>
      <c r="E271" s="2"/>
      <c r="F271" s="2"/>
      <c r="G271" s="2"/>
      <c r="H271" s="2"/>
      <c r="I271" s="2"/>
    </row>
    <row r="272" customFormat="false" ht="15.75" hidden="false" customHeight="true" outlineLevel="0" collapsed="false">
      <c r="A272" s="2"/>
      <c r="B272" s="2"/>
      <c r="C272" s="2"/>
      <c r="D272" s="2"/>
      <c r="E272" s="2"/>
      <c r="F272" s="2"/>
      <c r="G272" s="2"/>
      <c r="H272" s="2"/>
      <c r="I272" s="2"/>
    </row>
    <row r="273" customFormat="false" ht="15.75" hidden="false" customHeight="true" outlineLevel="0" collapsed="false">
      <c r="A273" s="2"/>
      <c r="B273" s="2"/>
      <c r="C273" s="2"/>
      <c r="D273" s="2"/>
      <c r="E273" s="2"/>
      <c r="F273" s="2"/>
      <c r="G273" s="2"/>
      <c r="H273" s="2"/>
      <c r="I273" s="2"/>
    </row>
    <row r="274" customFormat="false" ht="15.75" hidden="false" customHeight="true" outlineLevel="0" collapsed="false">
      <c r="A274" s="2"/>
      <c r="B274" s="2"/>
      <c r="C274" s="2"/>
      <c r="D274" s="2"/>
      <c r="E274" s="2"/>
      <c r="F274" s="2"/>
      <c r="G274" s="2"/>
      <c r="H274" s="2"/>
      <c r="I274" s="2"/>
    </row>
    <row r="275" customFormat="false" ht="15.75" hidden="false" customHeight="true" outlineLevel="0" collapsed="false">
      <c r="A275" s="2"/>
      <c r="B275" s="2"/>
      <c r="C275" s="2"/>
      <c r="D275" s="2"/>
      <c r="E275" s="2"/>
      <c r="F275" s="2"/>
      <c r="G275" s="2"/>
      <c r="H275" s="2"/>
      <c r="I275" s="2"/>
    </row>
    <row r="276" customFormat="false" ht="15.75" hidden="false" customHeight="true" outlineLevel="0" collapsed="false">
      <c r="A276" s="2"/>
      <c r="B276" s="2"/>
      <c r="C276" s="2"/>
      <c r="D276" s="2"/>
      <c r="E276" s="2"/>
      <c r="F276" s="2"/>
      <c r="G276" s="2"/>
      <c r="H276" s="2"/>
      <c r="I276" s="2"/>
    </row>
    <row r="277" customFormat="false" ht="15.75" hidden="false" customHeight="true" outlineLevel="0" collapsed="false">
      <c r="A277" s="2"/>
      <c r="B277" s="2"/>
      <c r="C277" s="2"/>
      <c r="D277" s="2"/>
      <c r="E277" s="2"/>
      <c r="F277" s="2"/>
      <c r="G277" s="2"/>
      <c r="H277" s="2"/>
      <c r="I277" s="2"/>
    </row>
    <row r="278" customFormat="false" ht="15.75" hidden="false" customHeight="true" outlineLevel="0" collapsed="false">
      <c r="A278" s="2"/>
      <c r="B278" s="2"/>
      <c r="C278" s="2"/>
      <c r="D278" s="2"/>
      <c r="E278" s="2"/>
      <c r="F278" s="2"/>
      <c r="G278" s="2"/>
      <c r="H278" s="2"/>
      <c r="I278" s="2"/>
    </row>
    <row r="279" customFormat="false" ht="15.75" hidden="false" customHeight="true" outlineLevel="0" collapsed="false">
      <c r="A279" s="2"/>
      <c r="B279" s="2"/>
      <c r="C279" s="2"/>
      <c r="D279" s="2"/>
      <c r="E279" s="2"/>
      <c r="F279" s="2"/>
      <c r="G279" s="2"/>
      <c r="H279" s="2"/>
      <c r="I279" s="2"/>
    </row>
    <row r="280" customFormat="false" ht="15.75" hidden="false" customHeight="true" outlineLevel="0" collapsed="false">
      <c r="A280" s="2"/>
      <c r="B280" s="2"/>
      <c r="C280" s="2"/>
      <c r="D280" s="2"/>
      <c r="E280" s="2"/>
      <c r="F280" s="2"/>
      <c r="G280" s="2"/>
      <c r="H280" s="2"/>
      <c r="I280" s="2"/>
    </row>
    <row r="281" customFormat="false" ht="15.75" hidden="false" customHeight="true" outlineLevel="0" collapsed="false">
      <c r="A281" s="2"/>
      <c r="B281" s="2"/>
      <c r="C281" s="2"/>
      <c r="D281" s="2"/>
      <c r="E281" s="2"/>
      <c r="F281" s="2"/>
      <c r="G281" s="2"/>
      <c r="H281" s="2"/>
      <c r="I281" s="2"/>
    </row>
    <row r="282" customFormat="false" ht="15.75" hidden="false" customHeight="true" outlineLevel="0" collapsed="false">
      <c r="A282" s="2"/>
      <c r="B282" s="2"/>
      <c r="C282" s="2"/>
      <c r="D282" s="2"/>
      <c r="E282" s="2"/>
      <c r="F282" s="2"/>
      <c r="G282" s="2"/>
      <c r="H282" s="2"/>
      <c r="I282" s="2"/>
    </row>
    <row r="283" customFormat="false" ht="15.75" hidden="false" customHeight="true" outlineLevel="0" collapsed="false">
      <c r="A283" s="2"/>
      <c r="B283" s="2"/>
      <c r="C283" s="2"/>
      <c r="D283" s="2"/>
      <c r="E283" s="2"/>
      <c r="F283" s="2"/>
      <c r="G283" s="2"/>
      <c r="H283" s="2"/>
      <c r="I283" s="2"/>
    </row>
    <row r="284" customFormat="false" ht="15.75" hidden="false" customHeight="true" outlineLevel="0" collapsed="false">
      <c r="A284" s="2"/>
      <c r="B284" s="2"/>
      <c r="C284" s="2"/>
      <c r="D284" s="2"/>
      <c r="E284" s="2"/>
      <c r="F284" s="2"/>
      <c r="G284" s="2"/>
      <c r="H284" s="2"/>
      <c r="I284" s="2"/>
    </row>
    <row r="285" customFormat="false" ht="15.75" hidden="false" customHeight="true" outlineLevel="0" collapsed="false">
      <c r="A285" s="2"/>
      <c r="B285" s="2"/>
      <c r="C285" s="2"/>
      <c r="D285" s="2"/>
      <c r="E285" s="2"/>
      <c r="F285" s="2"/>
      <c r="G285" s="2"/>
      <c r="H285" s="2"/>
      <c r="I285" s="2"/>
    </row>
    <row r="286" customFormat="false" ht="15.75" hidden="false" customHeight="true" outlineLevel="0" collapsed="false">
      <c r="A286" s="2"/>
      <c r="B286" s="2"/>
      <c r="C286" s="2"/>
      <c r="D286" s="2"/>
      <c r="E286" s="2"/>
      <c r="F286" s="2"/>
      <c r="G286" s="2"/>
      <c r="H286" s="2"/>
      <c r="I286" s="2"/>
    </row>
    <row r="287" customFormat="false" ht="15.75" hidden="false" customHeight="true" outlineLevel="0" collapsed="false">
      <c r="A287" s="2"/>
      <c r="B287" s="2"/>
      <c r="C287" s="2"/>
      <c r="D287" s="2"/>
      <c r="E287" s="2"/>
      <c r="F287" s="2"/>
      <c r="G287" s="2"/>
      <c r="H287" s="2"/>
      <c r="I287" s="2"/>
    </row>
    <row r="288" customFormat="false" ht="15.75" hidden="false" customHeight="true" outlineLevel="0" collapsed="false">
      <c r="A288" s="2"/>
      <c r="B288" s="2"/>
      <c r="C288" s="2"/>
      <c r="D288" s="2"/>
      <c r="E288" s="2"/>
      <c r="F288" s="2"/>
      <c r="G288" s="2"/>
      <c r="H288" s="2"/>
      <c r="I288" s="2"/>
    </row>
    <row r="289" customFormat="false" ht="15.75" hidden="false" customHeight="true" outlineLevel="0" collapsed="false">
      <c r="A289" s="2"/>
      <c r="B289" s="2"/>
      <c r="C289" s="2"/>
      <c r="D289" s="2"/>
      <c r="E289" s="2"/>
      <c r="F289" s="2"/>
      <c r="G289" s="2"/>
      <c r="H289" s="2"/>
      <c r="I289" s="2"/>
    </row>
    <row r="290" customFormat="false" ht="15.75" hidden="false" customHeight="true" outlineLevel="0" collapsed="false">
      <c r="A290" s="2"/>
      <c r="B290" s="2"/>
      <c r="C290" s="2"/>
      <c r="D290" s="2"/>
      <c r="E290" s="2"/>
      <c r="F290" s="2"/>
      <c r="G290" s="2"/>
      <c r="H290" s="2"/>
      <c r="I290" s="2"/>
    </row>
    <row r="291" customFormat="false" ht="15.75" hidden="false" customHeight="true" outlineLevel="0" collapsed="false">
      <c r="A291" s="2"/>
      <c r="B291" s="2"/>
      <c r="C291" s="2"/>
      <c r="D291" s="2"/>
      <c r="E291" s="2"/>
      <c r="F291" s="2"/>
      <c r="G291" s="2"/>
      <c r="H291" s="2"/>
      <c r="I291" s="2"/>
    </row>
    <row r="292" customFormat="false" ht="15.75" hidden="false" customHeight="true" outlineLevel="0" collapsed="false">
      <c r="A292" s="2"/>
      <c r="B292" s="2"/>
      <c r="C292" s="2"/>
      <c r="D292" s="2"/>
      <c r="E292" s="2"/>
      <c r="F292" s="2"/>
      <c r="G292" s="2"/>
      <c r="H292" s="2"/>
      <c r="I292" s="2"/>
    </row>
    <row r="293" customFormat="false" ht="15.75" hidden="false" customHeight="true" outlineLevel="0" collapsed="false">
      <c r="A293" s="2"/>
      <c r="B293" s="2"/>
      <c r="C293" s="2"/>
      <c r="D293" s="2"/>
      <c r="E293" s="2"/>
      <c r="F293" s="2"/>
      <c r="G293" s="2"/>
      <c r="H293" s="2"/>
      <c r="I293" s="2"/>
    </row>
    <row r="294" customFormat="false" ht="15.75" hidden="false" customHeight="true" outlineLevel="0" collapsed="false">
      <c r="A294" s="2"/>
      <c r="B294" s="2"/>
      <c r="C294" s="2"/>
      <c r="D294" s="2"/>
      <c r="E294" s="2"/>
      <c r="F294" s="2"/>
      <c r="G294" s="2"/>
      <c r="H294" s="2"/>
      <c r="I294" s="2"/>
    </row>
    <row r="295" customFormat="false" ht="15.75" hidden="false" customHeight="true" outlineLevel="0" collapsed="false">
      <c r="A295" s="2"/>
      <c r="B295" s="2"/>
      <c r="C295" s="2"/>
      <c r="D295" s="2"/>
      <c r="E295" s="2"/>
      <c r="F295" s="2"/>
      <c r="G295" s="2"/>
      <c r="H295" s="2"/>
      <c r="I295" s="2"/>
    </row>
    <row r="296" customFormat="false" ht="15.75" hidden="false" customHeight="true" outlineLevel="0" collapsed="false">
      <c r="A296" s="2"/>
      <c r="B296" s="2"/>
      <c r="C296" s="2"/>
      <c r="D296" s="2"/>
      <c r="E296" s="2"/>
      <c r="F296" s="2"/>
      <c r="G296" s="2"/>
      <c r="H296" s="2"/>
      <c r="I296" s="2"/>
    </row>
    <row r="297" customFormat="false" ht="15.75" hidden="false" customHeight="true" outlineLevel="0" collapsed="false">
      <c r="A297" s="2"/>
      <c r="B297" s="2"/>
      <c r="C297" s="2"/>
      <c r="D297" s="2"/>
      <c r="E297" s="2"/>
      <c r="F297" s="2"/>
      <c r="G297" s="2"/>
      <c r="H297" s="2"/>
      <c r="I297" s="2"/>
    </row>
    <row r="298" customFormat="false" ht="15.75" hidden="false" customHeight="true" outlineLevel="0" collapsed="false">
      <c r="A298" s="2"/>
      <c r="B298" s="2"/>
      <c r="C298" s="2"/>
      <c r="D298" s="2"/>
      <c r="E298" s="2"/>
      <c r="F298" s="2"/>
      <c r="G298" s="2"/>
      <c r="H298" s="2"/>
      <c r="I298" s="2"/>
    </row>
    <row r="299" customFormat="false" ht="15.75" hidden="false" customHeight="true" outlineLevel="0" collapsed="false">
      <c r="A299" s="2"/>
      <c r="B299" s="2"/>
      <c r="C299" s="2"/>
      <c r="D299" s="2"/>
      <c r="E299" s="2"/>
      <c r="F299" s="2"/>
      <c r="G299" s="2"/>
      <c r="H299" s="2"/>
      <c r="I299" s="2"/>
    </row>
    <row r="300" customFormat="false" ht="15.75" hidden="false" customHeight="true" outlineLevel="0" collapsed="false">
      <c r="A300" s="2"/>
      <c r="B300" s="2"/>
      <c r="C300" s="2"/>
      <c r="D300" s="2"/>
      <c r="E300" s="2"/>
      <c r="F300" s="2"/>
      <c r="G300" s="2"/>
      <c r="H300" s="2"/>
      <c r="I300" s="2"/>
    </row>
    <row r="301" customFormat="false" ht="15.75" hidden="false" customHeight="true" outlineLevel="0" collapsed="false">
      <c r="A301" s="2"/>
      <c r="B301" s="2"/>
      <c r="C301" s="2"/>
      <c r="D301" s="2"/>
      <c r="E301" s="2"/>
      <c r="F301" s="2"/>
      <c r="G301" s="2"/>
      <c r="H301" s="2"/>
      <c r="I301" s="2"/>
    </row>
    <row r="302" customFormat="false" ht="15.75" hidden="false" customHeight="true" outlineLevel="0" collapsed="false">
      <c r="A302" s="2"/>
      <c r="B302" s="2"/>
      <c r="C302" s="2"/>
      <c r="D302" s="2"/>
      <c r="E302" s="2"/>
      <c r="F302" s="2"/>
      <c r="G302" s="2"/>
      <c r="H302" s="2"/>
      <c r="I302" s="2"/>
    </row>
    <row r="303" customFormat="false" ht="15.75" hidden="false" customHeight="true" outlineLevel="0" collapsed="false">
      <c r="A303" s="2"/>
      <c r="B303" s="2"/>
      <c r="C303" s="2"/>
      <c r="D303" s="2"/>
      <c r="E303" s="2"/>
      <c r="F303" s="2"/>
      <c r="G303" s="2"/>
      <c r="H303" s="2"/>
      <c r="I303" s="2"/>
    </row>
    <row r="304" customFormat="false" ht="15.75" hidden="false" customHeight="true" outlineLevel="0" collapsed="false">
      <c r="A304" s="2"/>
      <c r="B304" s="2"/>
      <c r="C304" s="2"/>
      <c r="D304" s="2"/>
      <c r="E304" s="2"/>
      <c r="F304" s="2"/>
      <c r="G304" s="2"/>
      <c r="H304" s="2"/>
      <c r="I304" s="2"/>
    </row>
    <row r="305" customFormat="false" ht="15.75" hidden="false" customHeight="true" outlineLevel="0" collapsed="false">
      <c r="A305" s="2"/>
      <c r="B305" s="2"/>
      <c r="C305" s="2"/>
      <c r="D305" s="2"/>
      <c r="E305" s="2"/>
      <c r="F305" s="2"/>
      <c r="G305" s="2"/>
      <c r="H305" s="2"/>
      <c r="I305" s="2"/>
    </row>
    <row r="306" customFormat="false" ht="15.75" hidden="false" customHeight="true" outlineLevel="0" collapsed="false">
      <c r="A306" s="2"/>
      <c r="B306" s="2"/>
      <c r="C306" s="2"/>
      <c r="D306" s="2"/>
      <c r="E306" s="2"/>
      <c r="F306" s="2"/>
      <c r="G306" s="2"/>
      <c r="H306" s="2"/>
      <c r="I306" s="2"/>
    </row>
    <row r="307" customFormat="false" ht="15.75" hidden="false" customHeight="true" outlineLevel="0" collapsed="false">
      <c r="A307" s="2"/>
      <c r="B307" s="2"/>
      <c r="C307" s="2"/>
      <c r="D307" s="2"/>
      <c r="E307" s="2"/>
      <c r="F307" s="2"/>
      <c r="G307" s="2"/>
      <c r="H307" s="2"/>
      <c r="I307" s="2"/>
    </row>
    <row r="308" customFormat="false" ht="15.75" hidden="false" customHeight="true" outlineLevel="0" collapsed="false">
      <c r="A308" s="2"/>
      <c r="B308" s="2"/>
      <c r="C308" s="2"/>
      <c r="D308" s="2"/>
      <c r="E308" s="2"/>
      <c r="F308" s="2"/>
      <c r="G308" s="2"/>
      <c r="H308" s="2"/>
      <c r="I308" s="2"/>
    </row>
    <row r="309" customFormat="false" ht="15.75" hidden="false" customHeight="true" outlineLevel="0" collapsed="false">
      <c r="A309" s="2"/>
      <c r="B309" s="2"/>
      <c r="C309" s="2"/>
      <c r="D309" s="2"/>
      <c r="E309" s="2"/>
      <c r="F309" s="2"/>
      <c r="G309" s="2"/>
      <c r="H309" s="2"/>
      <c r="I309" s="2"/>
    </row>
    <row r="310" customFormat="false" ht="15.75" hidden="false" customHeight="true" outlineLevel="0" collapsed="false">
      <c r="A310" s="2"/>
      <c r="B310" s="2"/>
      <c r="C310" s="2"/>
      <c r="D310" s="2"/>
      <c r="E310" s="2"/>
      <c r="F310" s="2"/>
      <c r="G310" s="2"/>
      <c r="H310" s="2"/>
      <c r="I310" s="2"/>
    </row>
    <row r="311" customFormat="false" ht="15.75" hidden="false" customHeight="true" outlineLevel="0" collapsed="false">
      <c r="A311" s="2"/>
      <c r="B311" s="2"/>
      <c r="C311" s="2"/>
      <c r="D311" s="2"/>
      <c r="E311" s="2"/>
      <c r="F311" s="2"/>
      <c r="G311" s="2"/>
      <c r="H311" s="2"/>
      <c r="I311" s="2"/>
    </row>
    <row r="312" customFormat="false" ht="15.75" hidden="false" customHeight="true" outlineLevel="0" collapsed="false">
      <c r="A312" s="2"/>
      <c r="B312" s="2"/>
      <c r="C312" s="2"/>
      <c r="D312" s="2"/>
      <c r="E312" s="2"/>
      <c r="F312" s="2"/>
      <c r="G312" s="2"/>
      <c r="H312" s="2"/>
      <c r="I312" s="2"/>
    </row>
    <row r="313" customFormat="false" ht="15.75" hidden="false" customHeight="true" outlineLevel="0" collapsed="false">
      <c r="A313" s="2"/>
      <c r="B313" s="2"/>
      <c r="C313" s="2"/>
      <c r="D313" s="2"/>
      <c r="E313" s="2"/>
      <c r="F313" s="2"/>
      <c r="G313" s="2"/>
      <c r="H313" s="2"/>
      <c r="I313" s="2"/>
    </row>
    <row r="314" customFormat="false" ht="15.75" hidden="false" customHeight="true" outlineLevel="0" collapsed="false">
      <c r="A314" s="2"/>
      <c r="B314" s="2"/>
      <c r="C314" s="2"/>
      <c r="D314" s="2"/>
      <c r="E314" s="2"/>
      <c r="F314" s="2"/>
      <c r="G314" s="2"/>
      <c r="H314" s="2"/>
      <c r="I314" s="2"/>
    </row>
    <row r="315" customFormat="false" ht="15.75" hidden="false" customHeight="true" outlineLevel="0" collapsed="false">
      <c r="A315" s="2"/>
      <c r="B315" s="2"/>
      <c r="C315" s="2"/>
      <c r="D315" s="2"/>
      <c r="E315" s="2"/>
      <c r="F315" s="2"/>
      <c r="G315" s="2"/>
      <c r="H315" s="2"/>
      <c r="I315" s="2"/>
    </row>
    <row r="316" customFormat="false" ht="15.75" hidden="false" customHeight="true" outlineLevel="0" collapsed="false">
      <c r="A316" s="2"/>
      <c r="B316" s="2"/>
      <c r="C316" s="2"/>
      <c r="D316" s="2"/>
      <c r="E316" s="2"/>
      <c r="F316" s="2"/>
      <c r="G316" s="2"/>
      <c r="H316" s="2"/>
      <c r="I316" s="2"/>
    </row>
    <row r="317" customFormat="false" ht="15.75" hidden="false" customHeight="true" outlineLevel="0" collapsed="false">
      <c r="A317" s="2"/>
      <c r="B317" s="2"/>
      <c r="C317" s="2"/>
      <c r="D317" s="2"/>
      <c r="E317" s="2"/>
      <c r="F317" s="2"/>
      <c r="G317" s="2"/>
      <c r="H317" s="2"/>
      <c r="I317" s="2"/>
    </row>
    <row r="318" customFormat="false" ht="15.75" hidden="false" customHeight="true" outlineLevel="0" collapsed="false">
      <c r="A318" s="2"/>
      <c r="B318" s="2"/>
      <c r="C318" s="2"/>
      <c r="D318" s="2"/>
      <c r="E318" s="2"/>
      <c r="F318" s="2"/>
      <c r="G318" s="2"/>
      <c r="H318" s="2"/>
      <c r="I318" s="2"/>
    </row>
    <row r="319" customFormat="false" ht="15.75" hidden="false" customHeight="true" outlineLevel="0" collapsed="false">
      <c r="A319" s="2"/>
      <c r="B319" s="2"/>
      <c r="C319" s="2"/>
      <c r="D319" s="2"/>
      <c r="E319" s="2"/>
      <c r="F319" s="2"/>
      <c r="G319" s="2"/>
      <c r="H319" s="2"/>
      <c r="I319" s="2"/>
    </row>
    <row r="320" customFormat="false" ht="15.75" hidden="false" customHeight="true" outlineLevel="0" collapsed="false">
      <c r="A320" s="2"/>
      <c r="B320" s="2"/>
      <c r="C320" s="2"/>
      <c r="D320" s="2"/>
      <c r="E320" s="2"/>
      <c r="F320" s="2"/>
      <c r="G320" s="2"/>
      <c r="H320" s="2"/>
      <c r="I320" s="2"/>
    </row>
    <row r="321" customFormat="false" ht="15.75" hidden="false" customHeight="true" outlineLevel="0" collapsed="false">
      <c r="A321" s="2"/>
      <c r="B321" s="2"/>
      <c r="C321" s="2"/>
      <c r="D321" s="2"/>
      <c r="E321" s="2"/>
      <c r="F321" s="2"/>
      <c r="G321" s="2"/>
      <c r="H321" s="2"/>
      <c r="I321" s="2"/>
    </row>
    <row r="322" customFormat="false" ht="15.75" hidden="false" customHeight="true" outlineLevel="0" collapsed="false">
      <c r="A322" s="2"/>
      <c r="B322" s="2"/>
      <c r="C322" s="2"/>
      <c r="D322" s="2"/>
      <c r="E322" s="2"/>
      <c r="F322" s="2"/>
      <c r="G322" s="2"/>
      <c r="H322" s="2"/>
      <c r="I322" s="2"/>
    </row>
    <row r="323" customFormat="false" ht="15.75" hidden="false" customHeight="true" outlineLevel="0" collapsed="false">
      <c r="A323" s="2"/>
      <c r="B323" s="2"/>
      <c r="C323" s="2"/>
      <c r="D323" s="2"/>
      <c r="E323" s="2"/>
      <c r="F323" s="2"/>
      <c r="G323" s="2"/>
      <c r="H323" s="2"/>
      <c r="I323" s="2"/>
    </row>
    <row r="324" customFormat="false" ht="15.75" hidden="false" customHeight="true" outlineLevel="0" collapsed="false">
      <c r="A324" s="2"/>
      <c r="B324" s="2"/>
      <c r="C324" s="2"/>
      <c r="D324" s="2"/>
      <c r="E324" s="2"/>
      <c r="F324" s="2"/>
      <c r="G324" s="2"/>
      <c r="H324" s="2"/>
      <c r="I324" s="2"/>
    </row>
    <row r="325" customFormat="false" ht="15.75" hidden="false" customHeight="true" outlineLevel="0" collapsed="false">
      <c r="A325" s="2"/>
      <c r="B325" s="2"/>
      <c r="C325" s="2"/>
      <c r="D325" s="2"/>
      <c r="E325" s="2"/>
      <c r="F325" s="2"/>
      <c r="G325" s="2"/>
      <c r="H325" s="2"/>
      <c r="I325" s="2"/>
    </row>
    <row r="326" customFormat="false" ht="15.75" hidden="false" customHeight="true" outlineLevel="0" collapsed="false">
      <c r="A326" s="2"/>
      <c r="B326" s="2"/>
      <c r="C326" s="2"/>
      <c r="D326" s="2"/>
      <c r="E326" s="2"/>
      <c r="F326" s="2"/>
      <c r="G326" s="2"/>
      <c r="H326" s="2"/>
      <c r="I326" s="2"/>
    </row>
    <row r="327" customFormat="false" ht="15.75" hidden="false" customHeight="true" outlineLevel="0" collapsed="false">
      <c r="A327" s="2"/>
      <c r="B327" s="2"/>
      <c r="C327" s="2"/>
      <c r="D327" s="2"/>
      <c r="E327" s="2"/>
      <c r="F327" s="2"/>
      <c r="G327" s="2"/>
      <c r="H327" s="2"/>
      <c r="I327" s="2"/>
    </row>
    <row r="328" customFormat="false" ht="15.75" hidden="false" customHeight="true" outlineLevel="0" collapsed="false">
      <c r="A328" s="2"/>
      <c r="B328" s="2"/>
      <c r="C328" s="2"/>
      <c r="D328" s="2"/>
      <c r="E328" s="2"/>
      <c r="F328" s="2"/>
      <c r="G328" s="2"/>
      <c r="H328" s="2"/>
      <c r="I328" s="2"/>
    </row>
    <row r="329" customFormat="false" ht="15.75" hidden="false" customHeight="true" outlineLevel="0" collapsed="false">
      <c r="A329" s="2"/>
      <c r="B329" s="2"/>
      <c r="C329" s="2"/>
      <c r="D329" s="2"/>
      <c r="E329" s="2"/>
      <c r="F329" s="2"/>
      <c r="G329" s="2"/>
      <c r="H329" s="2"/>
      <c r="I329" s="2"/>
    </row>
    <row r="330" customFormat="false" ht="15.75" hidden="false" customHeight="true" outlineLevel="0" collapsed="false">
      <c r="A330" s="2"/>
      <c r="B330" s="2"/>
      <c r="C330" s="2"/>
      <c r="D330" s="2"/>
      <c r="E330" s="2"/>
      <c r="F330" s="2"/>
      <c r="G330" s="2"/>
      <c r="H330" s="2"/>
      <c r="I330" s="2"/>
    </row>
    <row r="331" customFormat="false" ht="15.75" hidden="false" customHeight="true" outlineLevel="0" collapsed="false">
      <c r="A331" s="2"/>
      <c r="B331" s="2"/>
      <c r="C331" s="2"/>
      <c r="D331" s="2"/>
      <c r="E331" s="2"/>
      <c r="F331" s="2"/>
      <c r="G331" s="2"/>
      <c r="H331" s="2"/>
      <c r="I331" s="2"/>
    </row>
    <row r="332" customFormat="false" ht="15.75" hidden="false" customHeight="true" outlineLevel="0" collapsed="false">
      <c r="A332" s="2"/>
      <c r="B332" s="2"/>
      <c r="C332" s="2"/>
      <c r="D332" s="2"/>
      <c r="E332" s="2"/>
      <c r="F332" s="2"/>
      <c r="G332" s="2"/>
      <c r="H332" s="2"/>
      <c r="I332" s="2"/>
    </row>
    <row r="333" customFormat="false" ht="15.75" hidden="false" customHeight="true" outlineLevel="0" collapsed="false">
      <c r="A333" s="2"/>
      <c r="B333" s="2"/>
      <c r="C333" s="2"/>
      <c r="D333" s="2"/>
      <c r="E333" s="2"/>
      <c r="F333" s="2"/>
      <c r="G333" s="2"/>
      <c r="H333" s="2"/>
      <c r="I333" s="2"/>
    </row>
    <row r="334" customFormat="false" ht="15.75" hidden="false" customHeight="true" outlineLevel="0" collapsed="false">
      <c r="A334" s="2"/>
      <c r="B334" s="2"/>
      <c r="C334" s="2"/>
      <c r="D334" s="2"/>
      <c r="E334" s="2"/>
      <c r="F334" s="2"/>
      <c r="G334" s="2"/>
      <c r="H334" s="2"/>
      <c r="I334" s="2"/>
    </row>
    <row r="335" customFormat="false" ht="15.75" hidden="false" customHeight="true" outlineLevel="0" collapsed="false">
      <c r="A335" s="2"/>
      <c r="B335" s="2"/>
      <c r="C335" s="2"/>
      <c r="D335" s="2"/>
      <c r="E335" s="2"/>
      <c r="F335" s="2"/>
      <c r="G335" s="2"/>
      <c r="H335" s="2"/>
      <c r="I335" s="2"/>
    </row>
    <row r="336" customFormat="false" ht="15.75" hidden="false" customHeight="true" outlineLevel="0" collapsed="false">
      <c r="A336" s="2"/>
      <c r="B336" s="2"/>
      <c r="C336" s="2"/>
      <c r="D336" s="2"/>
      <c r="E336" s="2"/>
      <c r="F336" s="2"/>
      <c r="G336" s="2"/>
      <c r="H336" s="2"/>
      <c r="I336" s="2"/>
    </row>
    <row r="337" customFormat="false" ht="15.75" hidden="false" customHeight="true" outlineLevel="0" collapsed="false">
      <c r="A337" s="2"/>
      <c r="B337" s="2"/>
      <c r="C337" s="2"/>
      <c r="D337" s="2"/>
      <c r="E337" s="2"/>
      <c r="F337" s="2"/>
      <c r="G337" s="2"/>
      <c r="H337" s="2"/>
      <c r="I337" s="2"/>
    </row>
    <row r="338" customFormat="false" ht="15.75" hidden="false" customHeight="true" outlineLevel="0" collapsed="false">
      <c r="A338" s="2"/>
      <c r="B338" s="2"/>
      <c r="C338" s="2"/>
      <c r="D338" s="2"/>
      <c r="E338" s="2"/>
      <c r="F338" s="2"/>
      <c r="G338" s="2"/>
      <c r="H338" s="2"/>
      <c r="I338" s="2"/>
    </row>
    <row r="339" customFormat="false" ht="15.75" hidden="false" customHeight="true" outlineLevel="0" collapsed="false">
      <c r="A339" s="2"/>
      <c r="B339" s="2"/>
      <c r="C339" s="2"/>
      <c r="D339" s="2"/>
      <c r="E339" s="2"/>
      <c r="F339" s="2"/>
      <c r="G339" s="2"/>
      <c r="H339" s="2"/>
      <c r="I339" s="2"/>
    </row>
    <row r="340" customFormat="false" ht="15.75" hidden="false" customHeight="true" outlineLevel="0" collapsed="false">
      <c r="A340" s="2"/>
      <c r="B340" s="2"/>
      <c r="C340" s="2"/>
      <c r="D340" s="2"/>
      <c r="E340" s="2"/>
      <c r="F340" s="2"/>
      <c r="G340" s="2"/>
      <c r="H340" s="2"/>
      <c r="I340" s="2"/>
    </row>
    <row r="341" customFormat="false" ht="15.75" hidden="false" customHeight="true" outlineLevel="0" collapsed="false">
      <c r="A341" s="2"/>
      <c r="B341" s="2"/>
      <c r="C341" s="2"/>
      <c r="D341" s="2"/>
      <c r="E341" s="2"/>
      <c r="F341" s="2"/>
      <c r="G341" s="2"/>
      <c r="H341" s="2"/>
      <c r="I341" s="2"/>
    </row>
    <row r="342" customFormat="false" ht="15.75" hidden="false" customHeight="true" outlineLevel="0" collapsed="false">
      <c r="A342" s="2"/>
      <c r="B342" s="2"/>
      <c r="C342" s="2"/>
      <c r="D342" s="2"/>
      <c r="E342" s="2"/>
      <c r="F342" s="2"/>
      <c r="G342" s="2"/>
      <c r="H342" s="2"/>
      <c r="I342" s="2"/>
    </row>
    <row r="343" customFormat="false" ht="15.75" hidden="false" customHeight="true" outlineLevel="0" collapsed="false">
      <c r="A343" s="2"/>
      <c r="B343" s="2"/>
      <c r="C343" s="2"/>
      <c r="D343" s="2"/>
      <c r="E343" s="2"/>
      <c r="F343" s="2"/>
      <c r="G343" s="2"/>
      <c r="H343" s="2"/>
      <c r="I343" s="2"/>
    </row>
    <row r="344" customFormat="false" ht="15.75" hidden="false" customHeight="true" outlineLevel="0" collapsed="false">
      <c r="A344" s="2"/>
      <c r="B344" s="2"/>
      <c r="C344" s="2"/>
      <c r="D344" s="2"/>
      <c r="E344" s="2"/>
      <c r="F344" s="2"/>
      <c r="G344" s="2"/>
      <c r="H344" s="2"/>
      <c r="I344" s="2"/>
    </row>
    <row r="345" customFormat="false" ht="15.75" hidden="false" customHeight="true" outlineLevel="0" collapsed="false">
      <c r="A345" s="2"/>
      <c r="B345" s="2"/>
      <c r="C345" s="2"/>
      <c r="D345" s="2"/>
      <c r="E345" s="2"/>
      <c r="F345" s="2"/>
      <c r="G345" s="2"/>
      <c r="H345" s="2"/>
      <c r="I345" s="2"/>
    </row>
    <row r="346" customFormat="false" ht="15.75" hidden="false" customHeight="true" outlineLevel="0" collapsed="false">
      <c r="A346" s="2"/>
      <c r="B346" s="2"/>
      <c r="C346" s="2"/>
      <c r="D346" s="2"/>
      <c r="E346" s="2"/>
      <c r="F346" s="2"/>
      <c r="G346" s="2"/>
      <c r="H346" s="2"/>
      <c r="I346" s="2"/>
    </row>
    <row r="347" customFormat="false" ht="15.75" hidden="false" customHeight="true" outlineLevel="0" collapsed="false">
      <c r="A347" s="2"/>
      <c r="B347" s="2"/>
      <c r="C347" s="2"/>
      <c r="D347" s="2"/>
      <c r="E347" s="2"/>
      <c r="F347" s="2"/>
      <c r="G347" s="2"/>
      <c r="H347" s="2"/>
      <c r="I347" s="2"/>
    </row>
    <row r="348" customFormat="false" ht="15.75" hidden="false" customHeight="true" outlineLevel="0" collapsed="false">
      <c r="A348" s="2"/>
      <c r="B348" s="2"/>
      <c r="C348" s="2"/>
      <c r="D348" s="2"/>
      <c r="E348" s="2"/>
      <c r="F348" s="2"/>
      <c r="G348" s="2"/>
      <c r="H348" s="2"/>
      <c r="I348" s="2"/>
    </row>
    <row r="349" customFormat="false" ht="15.75" hidden="false" customHeight="true" outlineLevel="0" collapsed="false">
      <c r="A349" s="2"/>
      <c r="B349" s="2"/>
      <c r="C349" s="2"/>
      <c r="D349" s="2"/>
      <c r="E349" s="2"/>
      <c r="F349" s="2"/>
      <c r="G349" s="2"/>
      <c r="H349" s="2"/>
      <c r="I349" s="2"/>
    </row>
    <row r="350" customFormat="false" ht="15.75" hidden="false" customHeight="true" outlineLevel="0" collapsed="false">
      <c r="A350" s="2"/>
      <c r="B350" s="2"/>
      <c r="C350" s="2"/>
      <c r="D350" s="2"/>
      <c r="E350" s="2"/>
      <c r="F350" s="2"/>
      <c r="G350" s="2"/>
      <c r="H350" s="2"/>
      <c r="I350" s="2"/>
    </row>
    <row r="351" customFormat="false" ht="15.75" hidden="false" customHeight="true" outlineLevel="0" collapsed="false">
      <c r="A351" s="2"/>
      <c r="B351" s="2"/>
      <c r="C351" s="2"/>
      <c r="D351" s="2"/>
      <c r="E351" s="2"/>
      <c r="F351" s="2"/>
      <c r="G351" s="2"/>
      <c r="H351" s="2"/>
      <c r="I351" s="2"/>
    </row>
    <row r="352" customFormat="false" ht="15.75" hidden="false" customHeight="true" outlineLevel="0" collapsed="false">
      <c r="A352" s="2"/>
      <c r="B352" s="2"/>
      <c r="C352" s="2"/>
      <c r="D352" s="2"/>
      <c r="E352" s="2"/>
      <c r="F352" s="2"/>
      <c r="G352" s="2"/>
      <c r="H352" s="2"/>
      <c r="I352" s="2"/>
    </row>
    <row r="353" customFormat="false" ht="15.75" hidden="false" customHeight="true" outlineLevel="0" collapsed="false">
      <c r="A353" s="2"/>
      <c r="B353" s="2"/>
      <c r="C353" s="2"/>
      <c r="D353" s="2"/>
      <c r="E353" s="2"/>
      <c r="F353" s="2"/>
      <c r="G353" s="2"/>
      <c r="H353" s="2"/>
      <c r="I353" s="2"/>
    </row>
    <row r="354" customFormat="false" ht="15.75" hidden="false" customHeight="true" outlineLevel="0" collapsed="false">
      <c r="A354" s="2"/>
      <c r="B354" s="2"/>
      <c r="C354" s="2"/>
      <c r="D354" s="2"/>
      <c r="E354" s="2"/>
      <c r="F354" s="2"/>
      <c r="G354" s="2"/>
      <c r="H354" s="2"/>
      <c r="I354" s="2"/>
    </row>
    <row r="355" customFormat="false" ht="15.75" hidden="false" customHeight="true" outlineLevel="0" collapsed="false">
      <c r="A355" s="2"/>
      <c r="B355" s="2"/>
      <c r="C355" s="2"/>
      <c r="D355" s="2"/>
      <c r="E355" s="2"/>
      <c r="F355" s="2"/>
      <c r="G355" s="2"/>
      <c r="H355" s="2"/>
      <c r="I355" s="2"/>
    </row>
    <row r="356" customFormat="false" ht="15.75" hidden="false" customHeight="true" outlineLevel="0" collapsed="false">
      <c r="A356" s="2"/>
      <c r="B356" s="2"/>
      <c r="C356" s="2"/>
      <c r="D356" s="2"/>
      <c r="E356" s="2"/>
      <c r="F356" s="2"/>
      <c r="G356" s="2"/>
      <c r="H356" s="2"/>
      <c r="I356" s="2"/>
    </row>
    <row r="357" customFormat="false" ht="15.75" hidden="false" customHeight="true" outlineLevel="0" collapsed="false">
      <c r="A357" s="2"/>
      <c r="B357" s="2"/>
      <c r="C357" s="2"/>
      <c r="D357" s="2"/>
      <c r="E357" s="2"/>
      <c r="F357" s="2"/>
      <c r="G357" s="2"/>
      <c r="H357" s="2"/>
      <c r="I357" s="2"/>
    </row>
    <row r="358" customFormat="false" ht="15.75" hidden="false" customHeight="true" outlineLevel="0" collapsed="false">
      <c r="A358" s="2"/>
      <c r="B358" s="2"/>
      <c r="C358" s="2"/>
      <c r="D358" s="2"/>
      <c r="E358" s="2"/>
      <c r="F358" s="2"/>
      <c r="G358" s="2"/>
      <c r="H358" s="2"/>
      <c r="I358" s="2"/>
    </row>
    <row r="359" customFormat="false" ht="15.75" hidden="false" customHeight="true" outlineLevel="0" collapsed="false">
      <c r="A359" s="2"/>
      <c r="B359" s="2"/>
      <c r="C359" s="2"/>
      <c r="D359" s="2"/>
      <c r="E359" s="2"/>
      <c r="F359" s="2"/>
      <c r="G359" s="2"/>
      <c r="H359" s="2"/>
      <c r="I359" s="2"/>
    </row>
    <row r="360" customFormat="false" ht="15.75" hidden="false" customHeight="true" outlineLevel="0" collapsed="false">
      <c r="A360" s="2"/>
      <c r="B360" s="2"/>
      <c r="C360" s="2"/>
      <c r="D360" s="2"/>
      <c r="E360" s="2"/>
      <c r="F360" s="2"/>
      <c r="G360" s="2"/>
      <c r="H360" s="2"/>
      <c r="I360" s="2"/>
    </row>
    <row r="361" customFormat="false" ht="15.75" hidden="false" customHeight="true" outlineLevel="0" collapsed="false">
      <c r="A361" s="2"/>
      <c r="B361" s="2"/>
      <c r="C361" s="2"/>
      <c r="D361" s="2"/>
      <c r="E361" s="2"/>
      <c r="F361" s="2"/>
      <c r="G361" s="2"/>
      <c r="H361" s="2"/>
      <c r="I361" s="2"/>
    </row>
    <row r="362" customFormat="false" ht="15.75" hidden="false" customHeight="true" outlineLevel="0" collapsed="false">
      <c r="A362" s="2"/>
      <c r="B362" s="2"/>
      <c r="C362" s="2"/>
      <c r="D362" s="2"/>
      <c r="E362" s="2"/>
      <c r="F362" s="2"/>
      <c r="G362" s="2"/>
      <c r="H362" s="2"/>
      <c r="I362" s="2"/>
    </row>
    <row r="363" customFormat="false" ht="15.75" hidden="false" customHeight="true" outlineLevel="0" collapsed="false">
      <c r="A363" s="2"/>
      <c r="B363" s="2"/>
      <c r="C363" s="2"/>
      <c r="D363" s="2"/>
      <c r="E363" s="2"/>
      <c r="F363" s="2"/>
      <c r="G363" s="2"/>
      <c r="H363" s="2"/>
      <c r="I363" s="2"/>
    </row>
    <row r="364" customFormat="false" ht="15.75" hidden="false" customHeight="true" outlineLevel="0" collapsed="false">
      <c r="A364" s="2"/>
      <c r="B364" s="2"/>
      <c r="C364" s="2"/>
      <c r="D364" s="2"/>
      <c r="E364" s="2"/>
      <c r="F364" s="2"/>
      <c r="G364" s="2"/>
      <c r="H364" s="2"/>
      <c r="I364" s="2"/>
    </row>
    <row r="365" customFormat="false" ht="15.75" hidden="false" customHeight="true" outlineLevel="0" collapsed="false">
      <c r="A365" s="2"/>
      <c r="B365" s="2"/>
      <c r="C365" s="2"/>
      <c r="D365" s="2"/>
      <c r="E365" s="2"/>
      <c r="F365" s="2"/>
      <c r="G365" s="2"/>
      <c r="H365" s="2"/>
      <c r="I365" s="2"/>
    </row>
    <row r="366" customFormat="false" ht="15.75" hidden="false" customHeight="true" outlineLevel="0" collapsed="false">
      <c r="A366" s="2"/>
      <c r="B366" s="2"/>
      <c r="C366" s="2"/>
      <c r="D366" s="2"/>
      <c r="E366" s="2"/>
      <c r="F366" s="2"/>
      <c r="G366" s="2"/>
      <c r="H366" s="2"/>
      <c r="I366" s="2"/>
    </row>
    <row r="367" customFormat="false" ht="15.75" hidden="false" customHeight="true" outlineLevel="0" collapsed="false">
      <c r="A367" s="2"/>
      <c r="B367" s="2"/>
      <c r="C367" s="2"/>
      <c r="D367" s="2"/>
      <c r="E367" s="2"/>
      <c r="F367" s="2"/>
      <c r="G367" s="2"/>
      <c r="H367" s="2"/>
      <c r="I367" s="2"/>
    </row>
    <row r="368" customFormat="false" ht="15.75" hidden="false" customHeight="true" outlineLevel="0" collapsed="false">
      <c r="A368" s="2"/>
      <c r="B368" s="2"/>
      <c r="C368" s="2"/>
      <c r="D368" s="2"/>
      <c r="E368" s="2"/>
      <c r="F368" s="2"/>
      <c r="G368" s="2"/>
      <c r="H368" s="2"/>
      <c r="I368" s="2"/>
    </row>
    <row r="369" customFormat="false" ht="15.75" hidden="false" customHeight="true" outlineLevel="0" collapsed="false">
      <c r="A369" s="2"/>
      <c r="B369" s="2"/>
      <c r="C369" s="2"/>
      <c r="D369" s="2"/>
      <c r="E369" s="2"/>
      <c r="F369" s="2"/>
      <c r="G369" s="2"/>
      <c r="H369" s="2"/>
      <c r="I369" s="2"/>
    </row>
    <row r="370" customFormat="false" ht="15.75" hidden="false" customHeight="true" outlineLevel="0" collapsed="false">
      <c r="A370" s="2"/>
      <c r="B370" s="2"/>
      <c r="C370" s="2"/>
      <c r="D370" s="2"/>
      <c r="E370" s="2"/>
      <c r="F370" s="2"/>
      <c r="G370" s="2"/>
      <c r="H370" s="2"/>
      <c r="I370" s="2"/>
    </row>
    <row r="371" customFormat="false" ht="15.75" hidden="false" customHeight="true" outlineLevel="0" collapsed="false">
      <c r="A371" s="2"/>
      <c r="B371" s="2"/>
      <c r="C371" s="2"/>
      <c r="D371" s="2"/>
      <c r="E371" s="2"/>
      <c r="F371" s="2"/>
      <c r="G371" s="2"/>
      <c r="H371" s="2"/>
      <c r="I371" s="2"/>
    </row>
    <row r="372" customFormat="false" ht="15.75" hidden="false" customHeight="true" outlineLevel="0" collapsed="false">
      <c r="A372" s="2"/>
      <c r="B372" s="2"/>
      <c r="C372" s="2"/>
      <c r="D372" s="2"/>
      <c r="E372" s="2"/>
      <c r="F372" s="2"/>
      <c r="G372" s="2"/>
      <c r="H372" s="2"/>
      <c r="I372" s="2"/>
    </row>
    <row r="373" customFormat="false" ht="15.75" hidden="false" customHeight="true" outlineLevel="0" collapsed="false">
      <c r="A373" s="2"/>
      <c r="B373" s="2"/>
      <c r="C373" s="2"/>
      <c r="D373" s="2"/>
      <c r="E373" s="2"/>
      <c r="F373" s="2"/>
      <c r="G373" s="2"/>
      <c r="H373" s="2"/>
      <c r="I373" s="2"/>
    </row>
    <row r="374" customFormat="false" ht="15.75" hidden="false" customHeight="true" outlineLevel="0" collapsed="false">
      <c r="A374" s="2"/>
      <c r="B374" s="2"/>
      <c r="C374" s="2"/>
      <c r="D374" s="2"/>
      <c r="E374" s="2"/>
      <c r="F374" s="2"/>
      <c r="G374" s="2"/>
      <c r="H374" s="2"/>
      <c r="I374" s="2"/>
    </row>
    <row r="375" customFormat="false" ht="15.75" hidden="false" customHeight="true" outlineLevel="0" collapsed="false">
      <c r="A375" s="2"/>
      <c r="B375" s="2"/>
      <c r="C375" s="2"/>
      <c r="D375" s="2"/>
      <c r="E375" s="2"/>
      <c r="F375" s="2"/>
      <c r="G375" s="2"/>
      <c r="H375" s="2"/>
      <c r="I375" s="2"/>
    </row>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5">
    <mergeCell ref="A1:I1"/>
    <mergeCell ref="A2:I2"/>
    <mergeCell ref="A4:I4"/>
    <mergeCell ref="A9:I9"/>
    <mergeCell ref="A10:I10"/>
    <mergeCell ref="A12:I12"/>
    <mergeCell ref="A21:I21"/>
    <mergeCell ref="B22:I22"/>
    <mergeCell ref="B23:I23"/>
    <mergeCell ref="B24:I24"/>
    <mergeCell ref="B25:I25"/>
    <mergeCell ref="B26:I26"/>
    <mergeCell ref="A28:I28"/>
    <mergeCell ref="A43:I43"/>
    <mergeCell ref="A53:I53"/>
    <mergeCell ref="B54:I54"/>
    <mergeCell ref="B55:I55"/>
    <mergeCell ref="B56:I56"/>
    <mergeCell ref="B57:I57"/>
    <mergeCell ref="B58:I58"/>
    <mergeCell ref="A60:I60"/>
    <mergeCell ref="A68:I68"/>
    <mergeCell ref="A77:I77"/>
    <mergeCell ref="B78:I78"/>
    <mergeCell ref="B79:I79"/>
    <mergeCell ref="B80:I80"/>
    <mergeCell ref="B81:I81"/>
    <mergeCell ref="B82:I82"/>
    <mergeCell ref="A84:I84"/>
    <mergeCell ref="A91:I91"/>
    <mergeCell ref="A99:I99"/>
    <mergeCell ref="B100:I100"/>
    <mergeCell ref="B101:I101"/>
    <mergeCell ref="B102:I102"/>
    <mergeCell ref="B103:I103"/>
    <mergeCell ref="B104:I104"/>
    <mergeCell ref="A106:I106"/>
    <mergeCell ref="A119:I119"/>
    <mergeCell ref="A122:I122"/>
    <mergeCell ref="A130:I130"/>
    <mergeCell ref="B131:I131"/>
    <mergeCell ref="B132:I132"/>
    <mergeCell ref="B133:I133"/>
    <mergeCell ref="B134:I134"/>
    <mergeCell ref="B135:I135"/>
    <mergeCell ref="A137:I137"/>
    <mergeCell ref="A150:I150"/>
    <mergeCell ref="A158:I158"/>
    <mergeCell ref="B159:I159"/>
    <mergeCell ref="B160:I160"/>
    <mergeCell ref="B161:I161"/>
    <mergeCell ref="B162:I162"/>
    <mergeCell ref="B163:I163"/>
    <mergeCell ref="A165:I165"/>
    <mergeCell ref="A171:I17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customHeight="true"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0"/>
    <col collapsed="false" customWidth="true" hidden="false" outlineLevel="0" max="4" min="4" style="0" width="12"/>
    <col collapsed="false" customWidth="true" hidden="false" outlineLevel="0" max="5" min="5" style="0" width="34"/>
    <col collapsed="false" customWidth="true" hidden="false" outlineLevel="0" max="6" min="6" style="0" width="30"/>
    <col collapsed="false" customWidth="true" hidden="false" outlineLevel="0" max="8" min="7" style="0" width="55"/>
    <col collapsed="false" customWidth="true" hidden="false" outlineLevel="0" max="9" min="9" style="0" width="28"/>
    <col collapsed="false" customWidth="true" hidden="false" outlineLevel="0" max="10" min="10" style="0" width="14"/>
    <col collapsed="false" customWidth="true" hidden="false" outlineLevel="0" max="11" min="11" style="0" width="40"/>
    <col collapsed="false" customWidth="true" hidden="false" outlineLevel="0" max="14" min="12" style="0" width="14"/>
  </cols>
  <sheetData>
    <row r="1" customFormat="false" ht="31.5" hidden="false" customHeight="true" outlineLevel="0" collapsed="false">
      <c r="A1" s="18" t="s">
        <v>367</v>
      </c>
      <c r="B1" s="18"/>
      <c r="C1" s="18"/>
      <c r="D1" s="18"/>
      <c r="E1" s="18"/>
      <c r="F1" s="18"/>
      <c r="G1" s="18"/>
      <c r="H1" s="18"/>
      <c r="I1" s="18"/>
      <c r="J1" s="18"/>
      <c r="K1" s="18"/>
      <c r="L1" s="2"/>
      <c r="M1" s="2"/>
      <c r="N1" s="2"/>
    </row>
    <row r="2" customFormat="false" ht="21.75" hidden="false" customHeight="true" outlineLevel="0" collapsed="false">
      <c r="A2" s="3" t="s">
        <v>368</v>
      </c>
      <c r="B2" s="3"/>
      <c r="C2" s="3"/>
      <c r="D2" s="3"/>
      <c r="E2" s="3"/>
      <c r="F2" s="3"/>
      <c r="G2" s="3"/>
      <c r="H2" s="3"/>
      <c r="I2" s="3"/>
      <c r="J2" s="3"/>
      <c r="K2" s="3"/>
      <c r="L2" s="2"/>
      <c r="M2" s="2"/>
      <c r="N2" s="2"/>
    </row>
    <row r="3" customFormat="false" ht="15" hidden="false" customHeight="false" outlineLevel="0" collapsed="false">
      <c r="A3" s="2"/>
      <c r="B3" s="2"/>
      <c r="C3" s="2"/>
      <c r="D3" s="2"/>
      <c r="E3" s="2"/>
      <c r="F3" s="2"/>
      <c r="G3" s="2"/>
      <c r="H3" s="2"/>
      <c r="I3" s="2"/>
      <c r="J3" s="2"/>
      <c r="K3" s="2"/>
      <c r="L3" s="2"/>
      <c r="M3" s="2"/>
      <c r="N3" s="2"/>
    </row>
    <row r="4" customFormat="false" ht="30" hidden="false" customHeight="true" outlineLevel="0" collapsed="false">
      <c r="A4" s="19" t="s">
        <v>99</v>
      </c>
      <c r="B4" s="19" t="s">
        <v>100</v>
      </c>
      <c r="C4" s="19" t="s">
        <v>101</v>
      </c>
      <c r="D4" s="19" t="s">
        <v>102</v>
      </c>
      <c r="E4" s="19" t="s">
        <v>103</v>
      </c>
      <c r="F4" s="19" t="s">
        <v>104</v>
      </c>
      <c r="G4" s="19" t="s">
        <v>105</v>
      </c>
      <c r="H4" s="19" t="s">
        <v>369</v>
      </c>
      <c r="I4" s="19" t="s">
        <v>370</v>
      </c>
      <c r="J4" s="19" t="s">
        <v>9</v>
      </c>
      <c r="K4" s="19" t="s">
        <v>371</v>
      </c>
      <c r="L4" s="19" t="s">
        <v>372</v>
      </c>
      <c r="M4" s="19" t="s">
        <v>373</v>
      </c>
      <c r="N4" s="19" t="s">
        <v>35</v>
      </c>
    </row>
    <row r="5" customFormat="false" ht="66" hidden="false" customHeight="true" outlineLevel="0" collapsed="false">
      <c r="A5" s="20" t="s">
        <v>107</v>
      </c>
      <c r="B5" s="20" t="s">
        <v>108</v>
      </c>
      <c r="C5" s="20" t="s">
        <v>3</v>
      </c>
      <c r="D5" s="20" t="s">
        <v>26</v>
      </c>
      <c r="E5" s="20" t="s">
        <v>109</v>
      </c>
      <c r="F5" s="20" t="s">
        <v>374</v>
      </c>
      <c r="G5" s="20" t="s">
        <v>375</v>
      </c>
      <c r="H5" s="20" t="s">
        <v>376</v>
      </c>
      <c r="I5" s="20" t="s">
        <v>377</v>
      </c>
      <c r="J5" s="20" t="s">
        <v>9</v>
      </c>
      <c r="K5" s="20" t="s">
        <v>378</v>
      </c>
      <c r="L5" s="21" t="s">
        <v>379</v>
      </c>
      <c r="M5" s="22" t="s">
        <v>380</v>
      </c>
      <c r="N5" s="23" t="s">
        <v>60</v>
      </c>
    </row>
    <row r="6" customFormat="false" ht="66" hidden="false" customHeight="true" outlineLevel="0" collapsed="false">
      <c r="A6" s="24" t="s">
        <v>112</v>
      </c>
      <c r="B6" s="24" t="s">
        <v>108</v>
      </c>
      <c r="C6" s="24" t="s">
        <v>4</v>
      </c>
      <c r="D6" s="24" t="s">
        <v>26</v>
      </c>
      <c r="E6" s="24" t="s">
        <v>109</v>
      </c>
      <c r="F6" s="24" t="s">
        <v>374</v>
      </c>
      <c r="G6" s="24" t="s">
        <v>381</v>
      </c>
      <c r="H6" s="24" t="s">
        <v>382</v>
      </c>
      <c r="I6" s="24" t="s">
        <v>383</v>
      </c>
      <c r="J6" s="24" t="s">
        <v>9</v>
      </c>
      <c r="K6" s="24" t="s">
        <v>384</v>
      </c>
      <c r="L6" s="21" t="s">
        <v>379</v>
      </c>
      <c r="M6" s="25" t="s">
        <v>385</v>
      </c>
      <c r="N6" s="23" t="s">
        <v>60</v>
      </c>
    </row>
    <row r="7" customFormat="false" ht="66" hidden="false" customHeight="true" outlineLevel="0" collapsed="false">
      <c r="A7" s="20" t="s">
        <v>164</v>
      </c>
      <c r="B7" s="20" t="s">
        <v>183</v>
      </c>
      <c r="C7" s="20" t="s">
        <v>3</v>
      </c>
      <c r="D7" s="20" t="s">
        <v>26</v>
      </c>
      <c r="E7" s="20" t="s">
        <v>386</v>
      </c>
      <c r="F7" s="20" t="s">
        <v>387</v>
      </c>
      <c r="G7" s="20" t="s">
        <v>388</v>
      </c>
      <c r="H7" s="20" t="s">
        <v>389</v>
      </c>
      <c r="I7" s="20"/>
      <c r="J7" s="20" t="s">
        <v>9</v>
      </c>
      <c r="K7" s="20" t="s">
        <v>390</v>
      </c>
      <c r="L7" s="21" t="s">
        <v>379</v>
      </c>
      <c r="M7" s="22" t="s">
        <v>391</v>
      </c>
      <c r="N7" s="23" t="s">
        <v>60</v>
      </c>
    </row>
    <row r="8" customFormat="false" ht="66" hidden="false" customHeight="true" outlineLevel="0" collapsed="false">
      <c r="A8" s="20" t="s">
        <v>166</v>
      </c>
      <c r="B8" s="20" t="s">
        <v>187</v>
      </c>
      <c r="C8" s="20" t="s">
        <v>3</v>
      </c>
      <c r="D8" s="20" t="s">
        <v>26</v>
      </c>
      <c r="E8" s="20" t="s">
        <v>392</v>
      </c>
      <c r="F8" s="20" t="s">
        <v>393</v>
      </c>
      <c r="G8" s="20" t="s">
        <v>394</v>
      </c>
      <c r="H8" s="20" t="s">
        <v>395</v>
      </c>
      <c r="I8" s="20" t="s">
        <v>377</v>
      </c>
      <c r="J8" s="20" t="s">
        <v>9</v>
      </c>
      <c r="K8" s="20" t="s">
        <v>396</v>
      </c>
      <c r="L8" s="21" t="s">
        <v>379</v>
      </c>
      <c r="M8" s="22" t="s">
        <v>397</v>
      </c>
      <c r="N8" s="23" t="s">
        <v>44</v>
      </c>
    </row>
    <row r="9" customFormat="false" ht="66" hidden="false" customHeight="true" outlineLevel="0" collapsed="false">
      <c r="A9" s="20" t="s">
        <v>398</v>
      </c>
      <c r="B9" s="20" t="s">
        <v>399</v>
      </c>
      <c r="C9" s="20" t="s">
        <v>3</v>
      </c>
      <c r="D9" s="20" t="s">
        <v>20</v>
      </c>
      <c r="E9" s="20" t="s">
        <v>400</v>
      </c>
      <c r="F9" s="20" t="s">
        <v>401</v>
      </c>
      <c r="G9" s="20" t="s">
        <v>402</v>
      </c>
      <c r="H9" s="20" t="s">
        <v>403</v>
      </c>
      <c r="I9" s="20" t="s">
        <v>404</v>
      </c>
      <c r="J9" s="20" t="s">
        <v>9</v>
      </c>
      <c r="K9" s="20" t="s">
        <v>405</v>
      </c>
      <c r="L9" s="21" t="s">
        <v>379</v>
      </c>
      <c r="M9" s="22" t="s">
        <v>406</v>
      </c>
      <c r="N9" s="23" t="s">
        <v>60</v>
      </c>
    </row>
    <row r="10" customFormat="false" ht="66" hidden="false" customHeight="true" outlineLevel="0" collapsed="false">
      <c r="A10" s="24" t="s">
        <v>114</v>
      </c>
      <c r="B10" s="24" t="s">
        <v>115</v>
      </c>
      <c r="C10" s="24" t="s">
        <v>3</v>
      </c>
      <c r="D10" s="24" t="s">
        <v>20</v>
      </c>
      <c r="E10" s="24" t="s">
        <v>407</v>
      </c>
      <c r="F10" s="24" t="s">
        <v>408</v>
      </c>
      <c r="G10" s="24" t="s">
        <v>409</v>
      </c>
      <c r="H10" s="24" t="s">
        <v>410</v>
      </c>
      <c r="I10" s="24" t="s">
        <v>411</v>
      </c>
      <c r="J10" s="24" t="s">
        <v>9</v>
      </c>
      <c r="K10" s="24" t="s">
        <v>412</v>
      </c>
      <c r="L10" s="21" t="s">
        <v>379</v>
      </c>
      <c r="M10" s="25" t="s">
        <v>413</v>
      </c>
      <c r="N10" s="23" t="s">
        <v>60</v>
      </c>
    </row>
    <row r="11" customFormat="false" ht="66" hidden="false" customHeight="true" outlineLevel="0" collapsed="false">
      <c r="A11" s="20" t="s">
        <v>119</v>
      </c>
      <c r="B11" s="20" t="s">
        <v>115</v>
      </c>
      <c r="C11" s="20" t="s">
        <v>4</v>
      </c>
      <c r="D11" s="20" t="s">
        <v>20</v>
      </c>
      <c r="E11" s="20" t="s">
        <v>407</v>
      </c>
      <c r="F11" s="20" t="s">
        <v>408</v>
      </c>
      <c r="G11" s="20" t="s">
        <v>414</v>
      </c>
      <c r="H11" s="20" t="s">
        <v>415</v>
      </c>
      <c r="I11" s="20" t="s">
        <v>416</v>
      </c>
      <c r="J11" s="20" t="s">
        <v>9</v>
      </c>
      <c r="K11" s="20" t="s">
        <v>417</v>
      </c>
      <c r="L11" s="21" t="s">
        <v>379</v>
      </c>
      <c r="M11" s="22" t="s">
        <v>385</v>
      </c>
      <c r="N11" s="23" t="s">
        <v>60</v>
      </c>
    </row>
    <row r="12" customFormat="false" ht="66" hidden="false" customHeight="true" outlineLevel="0" collapsed="false">
      <c r="A12" s="24" t="s">
        <v>215</v>
      </c>
      <c r="B12" s="24" t="s">
        <v>216</v>
      </c>
      <c r="C12" s="24" t="s">
        <v>3</v>
      </c>
      <c r="D12" s="24" t="s">
        <v>20</v>
      </c>
      <c r="E12" s="24" t="s">
        <v>418</v>
      </c>
      <c r="F12" s="24" t="s">
        <v>419</v>
      </c>
      <c r="G12" s="24" t="s">
        <v>420</v>
      </c>
      <c r="H12" s="24"/>
      <c r="I12" s="24" t="s">
        <v>404</v>
      </c>
      <c r="J12" s="24"/>
      <c r="K12" s="24" t="s">
        <v>421</v>
      </c>
      <c r="L12" s="21" t="s">
        <v>379</v>
      </c>
      <c r="M12" s="25" t="s">
        <v>422</v>
      </c>
      <c r="N12" s="21" t="s">
        <v>82</v>
      </c>
    </row>
    <row r="13" customFormat="false" ht="66" hidden="false" customHeight="true" outlineLevel="0" collapsed="false">
      <c r="A13" s="20" t="s">
        <v>220</v>
      </c>
      <c r="B13" s="20" t="s">
        <v>216</v>
      </c>
      <c r="C13" s="20" t="s">
        <v>4</v>
      </c>
      <c r="D13" s="20" t="s">
        <v>20</v>
      </c>
      <c r="E13" s="20" t="s">
        <v>418</v>
      </c>
      <c r="F13" s="20" t="s">
        <v>419</v>
      </c>
      <c r="G13" s="20" t="s">
        <v>423</v>
      </c>
      <c r="H13" s="20"/>
      <c r="I13" s="20" t="s">
        <v>424</v>
      </c>
      <c r="J13" s="20"/>
      <c r="K13" s="20" t="s">
        <v>425</v>
      </c>
      <c r="L13" s="26" t="s">
        <v>426</v>
      </c>
      <c r="M13" s="22" t="s">
        <v>427</v>
      </c>
      <c r="N13" s="21" t="s">
        <v>82</v>
      </c>
    </row>
    <row r="14" customFormat="false" ht="66" hidden="false" customHeight="true" outlineLevel="0" collapsed="false">
      <c r="A14" s="24" t="s">
        <v>121</v>
      </c>
      <c r="B14" s="24" t="s">
        <v>428</v>
      </c>
      <c r="C14" s="24" t="s">
        <v>3</v>
      </c>
      <c r="D14" s="24" t="s">
        <v>20</v>
      </c>
      <c r="E14" s="24"/>
      <c r="F14" s="24" t="s">
        <v>408</v>
      </c>
      <c r="G14" s="24" t="s">
        <v>124</v>
      </c>
      <c r="H14" s="24" t="s">
        <v>429</v>
      </c>
      <c r="I14" s="24" t="s">
        <v>430</v>
      </c>
      <c r="J14" s="24" t="s">
        <v>9</v>
      </c>
      <c r="K14" s="24"/>
      <c r="L14" s="21" t="s">
        <v>379</v>
      </c>
      <c r="M14" s="25" t="s">
        <v>431</v>
      </c>
      <c r="N14" s="23" t="s">
        <v>60</v>
      </c>
    </row>
    <row r="15" customFormat="false" ht="66" hidden="false" customHeight="true" outlineLevel="0" collapsed="false">
      <c r="A15" s="20" t="s">
        <v>125</v>
      </c>
      <c r="B15" s="20" t="s">
        <v>126</v>
      </c>
      <c r="C15" s="20" t="s">
        <v>3</v>
      </c>
      <c r="D15" s="20" t="s">
        <v>26</v>
      </c>
      <c r="E15" s="20" t="s">
        <v>127</v>
      </c>
      <c r="F15" s="20" t="s">
        <v>432</v>
      </c>
      <c r="G15" s="20" t="s">
        <v>433</v>
      </c>
      <c r="H15" s="20" t="s">
        <v>434</v>
      </c>
      <c r="I15" s="20" t="s">
        <v>435</v>
      </c>
      <c r="J15" s="20" t="s">
        <v>9</v>
      </c>
      <c r="K15" s="20" t="s">
        <v>436</v>
      </c>
      <c r="L15" s="21" t="s">
        <v>379</v>
      </c>
      <c r="M15" s="22" t="s">
        <v>437</v>
      </c>
      <c r="N15" s="26" t="s">
        <v>44</v>
      </c>
    </row>
    <row r="16" customFormat="false" ht="66" hidden="false" customHeight="true" outlineLevel="0" collapsed="false">
      <c r="A16" s="24" t="s">
        <v>236</v>
      </c>
      <c r="B16" s="24" t="s">
        <v>237</v>
      </c>
      <c r="C16" s="24" t="s">
        <v>3</v>
      </c>
      <c r="D16" s="24" t="s">
        <v>26</v>
      </c>
      <c r="E16" s="24" t="s">
        <v>438</v>
      </c>
      <c r="F16" s="24" t="s">
        <v>439</v>
      </c>
      <c r="G16" s="24" t="s">
        <v>440</v>
      </c>
      <c r="H16" s="24"/>
      <c r="I16" s="24" t="s">
        <v>441</v>
      </c>
      <c r="J16" s="24"/>
      <c r="K16" s="24" t="s">
        <v>442</v>
      </c>
      <c r="L16" s="21" t="s">
        <v>379</v>
      </c>
      <c r="M16" s="25" t="s">
        <v>443</v>
      </c>
      <c r="N16" s="26" t="s">
        <v>44</v>
      </c>
    </row>
    <row r="17" customFormat="false" ht="66" hidden="false" customHeight="true" outlineLevel="0" collapsed="false">
      <c r="A17" s="20" t="s">
        <v>241</v>
      </c>
      <c r="B17" s="20" t="s">
        <v>444</v>
      </c>
      <c r="C17" s="20" t="s">
        <v>3</v>
      </c>
      <c r="D17" s="20" t="s">
        <v>26</v>
      </c>
      <c r="E17" s="20" t="s">
        <v>445</v>
      </c>
      <c r="F17" s="20" t="s">
        <v>446</v>
      </c>
      <c r="G17" s="20" t="s">
        <v>447</v>
      </c>
      <c r="H17" s="20"/>
      <c r="I17" s="20" t="s">
        <v>441</v>
      </c>
      <c r="J17" s="20" t="s">
        <v>9</v>
      </c>
      <c r="K17" s="20" t="s">
        <v>448</v>
      </c>
      <c r="L17" s="21" t="s">
        <v>379</v>
      </c>
      <c r="M17" s="22" t="s">
        <v>449</v>
      </c>
      <c r="N17" s="26" t="s">
        <v>44</v>
      </c>
    </row>
    <row r="18" customFormat="false" ht="66" hidden="false" customHeight="true" outlineLevel="0" collapsed="false">
      <c r="A18" s="24" t="s">
        <v>246</v>
      </c>
      <c r="B18" s="24" t="s">
        <v>450</v>
      </c>
      <c r="C18" s="24" t="s">
        <v>3</v>
      </c>
      <c r="D18" s="24" t="s">
        <v>20</v>
      </c>
      <c r="E18" s="24" t="s">
        <v>451</v>
      </c>
      <c r="F18" s="24" t="s">
        <v>452</v>
      </c>
      <c r="G18" s="24" t="s">
        <v>250</v>
      </c>
      <c r="H18" s="24"/>
      <c r="I18" s="24" t="s">
        <v>424</v>
      </c>
      <c r="J18" s="24"/>
      <c r="K18" s="24" t="s">
        <v>453</v>
      </c>
      <c r="L18" s="21" t="s">
        <v>379</v>
      </c>
      <c r="M18" s="25" t="s">
        <v>454</v>
      </c>
      <c r="N18" s="26" t="s">
        <v>44</v>
      </c>
    </row>
    <row r="19" customFormat="false" ht="66" hidden="false" customHeight="true" outlineLevel="0" collapsed="false">
      <c r="A19" s="20" t="s">
        <v>251</v>
      </c>
      <c r="B19" s="20" t="s">
        <v>252</v>
      </c>
      <c r="C19" s="20" t="s">
        <v>3</v>
      </c>
      <c r="D19" s="20" t="s">
        <v>26</v>
      </c>
      <c r="E19" s="20" t="s">
        <v>455</v>
      </c>
      <c r="F19" s="20" t="s">
        <v>456</v>
      </c>
      <c r="G19" s="20" t="s">
        <v>254</v>
      </c>
      <c r="H19" s="20"/>
      <c r="I19" s="20" t="s">
        <v>457</v>
      </c>
      <c r="J19" s="20"/>
      <c r="K19" s="20" t="s">
        <v>458</v>
      </c>
      <c r="L19" s="21" t="s">
        <v>379</v>
      </c>
      <c r="M19" s="22" t="s">
        <v>459</v>
      </c>
      <c r="N19" s="26" t="s">
        <v>44</v>
      </c>
    </row>
    <row r="20" customFormat="false" ht="66" hidden="false" customHeight="true" outlineLevel="0" collapsed="false">
      <c r="A20" s="24" t="s">
        <v>130</v>
      </c>
      <c r="B20" s="24" t="s">
        <v>131</v>
      </c>
      <c r="C20" s="24" t="s">
        <v>3</v>
      </c>
      <c r="D20" s="24" t="s">
        <v>20</v>
      </c>
      <c r="E20" s="24" t="s">
        <v>460</v>
      </c>
      <c r="F20" s="24" t="s">
        <v>461</v>
      </c>
      <c r="G20" s="24" t="s">
        <v>462</v>
      </c>
      <c r="H20" s="24"/>
      <c r="I20" s="24" t="s">
        <v>463</v>
      </c>
      <c r="J20" s="24"/>
      <c r="K20" s="24" t="s">
        <v>464</v>
      </c>
      <c r="L20" s="21" t="s">
        <v>379</v>
      </c>
      <c r="M20" s="25" t="s">
        <v>465</v>
      </c>
      <c r="N20" s="26" t="s">
        <v>44</v>
      </c>
    </row>
    <row r="21" customFormat="false" ht="66" hidden="false" customHeight="true" outlineLevel="0" collapsed="false">
      <c r="A21" s="24" t="s">
        <v>135</v>
      </c>
      <c r="B21" s="24" t="s">
        <v>136</v>
      </c>
      <c r="C21" s="24" t="s">
        <v>3</v>
      </c>
      <c r="D21" s="24" t="s">
        <v>20</v>
      </c>
      <c r="E21" s="24" t="s">
        <v>466</v>
      </c>
      <c r="F21" s="24" t="s">
        <v>138</v>
      </c>
      <c r="G21" s="24" t="s">
        <v>467</v>
      </c>
      <c r="H21" s="24" t="s">
        <v>467</v>
      </c>
      <c r="I21" s="24" t="s">
        <v>468</v>
      </c>
      <c r="J21" s="24" t="s">
        <v>9</v>
      </c>
      <c r="K21" s="24" t="s">
        <v>469</v>
      </c>
      <c r="L21" s="21" t="s">
        <v>379</v>
      </c>
      <c r="M21" s="25" t="s">
        <v>470</v>
      </c>
      <c r="N21" s="26" t="s">
        <v>44</v>
      </c>
    </row>
    <row r="22" customFormat="false" ht="66" hidden="false" customHeight="true" outlineLevel="0" collapsed="false">
      <c r="A22" s="20" t="s">
        <v>140</v>
      </c>
      <c r="B22" s="20" t="s">
        <v>471</v>
      </c>
      <c r="C22" s="20" t="s">
        <v>3</v>
      </c>
      <c r="D22" s="20" t="s">
        <v>20</v>
      </c>
      <c r="E22" s="20" t="s">
        <v>472</v>
      </c>
      <c r="F22" s="20" t="s">
        <v>473</v>
      </c>
      <c r="G22" s="20" t="s">
        <v>474</v>
      </c>
      <c r="H22" s="20" t="s">
        <v>475</v>
      </c>
      <c r="I22" s="20" t="s">
        <v>476</v>
      </c>
      <c r="J22" s="20" t="s">
        <v>477</v>
      </c>
      <c r="K22" s="20" t="s">
        <v>478</v>
      </c>
      <c r="L22" s="21" t="s">
        <v>379</v>
      </c>
      <c r="M22" s="22" t="s">
        <v>479</v>
      </c>
      <c r="N22" s="23" t="s">
        <v>60</v>
      </c>
    </row>
    <row r="23" customFormat="false" ht="66" hidden="false" customHeight="true" outlineLevel="0" collapsed="false">
      <c r="A23" s="24" t="s">
        <v>145</v>
      </c>
      <c r="B23" s="24" t="s">
        <v>146</v>
      </c>
      <c r="C23" s="24" t="s">
        <v>3</v>
      </c>
      <c r="D23" s="24" t="s">
        <v>20</v>
      </c>
      <c r="E23" s="24" t="s">
        <v>480</v>
      </c>
      <c r="F23" s="24" t="s">
        <v>148</v>
      </c>
      <c r="G23" s="24" t="s">
        <v>481</v>
      </c>
      <c r="H23" s="24" t="s">
        <v>482</v>
      </c>
      <c r="I23" s="24" t="s">
        <v>483</v>
      </c>
      <c r="J23" s="24" t="s">
        <v>477</v>
      </c>
      <c r="K23" s="24" t="s">
        <v>484</v>
      </c>
      <c r="L23" s="21" t="s">
        <v>379</v>
      </c>
      <c r="M23" s="25" t="s">
        <v>485</v>
      </c>
      <c r="N23" s="23" t="s">
        <v>60</v>
      </c>
    </row>
    <row r="24" customFormat="false" ht="66" hidden="false" customHeight="true" outlineLevel="0" collapsed="false">
      <c r="A24" s="20" t="s">
        <v>279</v>
      </c>
      <c r="B24" s="20" t="s">
        <v>486</v>
      </c>
      <c r="C24" s="20" t="s">
        <v>3</v>
      </c>
      <c r="D24" s="20" t="s">
        <v>20</v>
      </c>
      <c r="E24" s="20" t="s">
        <v>487</v>
      </c>
      <c r="F24" s="20" t="s">
        <v>488</v>
      </c>
      <c r="G24" s="20" t="s">
        <v>489</v>
      </c>
      <c r="H24" s="20" t="s">
        <v>490</v>
      </c>
      <c r="I24" s="20" t="s">
        <v>491</v>
      </c>
      <c r="J24" s="20" t="s">
        <v>477</v>
      </c>
      <c r="K24" s="20" t="s">
        <v>492</v>
      </c>
      <c r="L24" s="21" t="s">
        <v>379</v>
      </c>
      <c r="M24" s="22" t="s">
        <v>493</v>
      </c>
      <c r="N24" s="26" t="s">
        <v>44</v>
      </c>
    </row>
    <row r="25" customFormat="false" ht="66" hidden="false" customHeight="true" outlineLevel="0" collapsed="false">
      <c r="A25" s="24" t="s">
        <v>285</v>
      </c>
      <c r="B25" s="24" t="s">
        <v>286</v>
      </c>
      <c r="C25" s="24" t="s">
        <v>3</v>
      </c>
      <c r="D25" s="24" t="s">
        <v>20</v>
      </c>
      <c r="E25" s="24" t="s">
        <v>494</v>
      </c>
      <c r="F25" s="24" t="s">
        <v>495</v>
      </c>
      <c r="G25" s="24" t="s">
        <v>496</v>
      </c>
      <c r="H25" s="24" t="s">
        <v>497</v>
      </c>
      <c r="I25" s="24" t="s">
        <v>491</v>
      </c>
      <c r="J25" s="24" t="s">
        <v>477</v>
      </c>
      <c r="K25" s="24" t="s">
        <v>498</v>
      </c>
      <c r="L25" s="21" t="s">
        <v>379</v>
      </c>
      <c r="M25" s="25" t="s">
        <v>499</v>
      </c>
      <c r="N25" s="26" t="s">
        <v>44</v>
      </c>
    </row>
    <row r="26" customFormat="false" ht="66" hidden="false" customHeight="true" outlineLevel="0" collapsed="false">
      <c r="A26" s="20" t="s">
        <v>291</v>
      </c>
      <c r="B26" s="20" t="s">
        <v>292</v>
      </c>
      <c r="C26" s="20" t="s">
        <v>3</v>
      </c>
      <c r="D26" s="20" t="s">
        <v>20</v>
      </c>
      <c r="E26" s="20" t="s">
        <v>500</v>
      </c>
      <c r="F26" s="20" t="s">
        <v>501</v>
      </c>
      <c r="G26" s="20" t="s">
        <v>502</v>
      </c>
      <c r="H26" s="20" t="s">
        <v>503</v>
      </c>
      <c r="I26" s="20" t="s">
        <v>491</v>
      </c>
      <c r="J26" s="20" t="s">
        <v>477</v>
      </c>
      <c r="K26" s="20" t="s">
        <v>504</v>
      </c>
      <c r="L26" s="21" t="s">
        <v>379</v>
      </c>
      <c r="M26" s="22" t="s">
        <v>505</v>
      </c>
      <c r="N26" s="26" t="s">
        <v>44</v>
      </c>
    </row>
    <row r="27" customFormat="false" ht="66" hidden="false" customHeight="true" outlineLevel="0" collapsed="false">
      <c r="A27" s="24" t="s">
        <v>296</v>
      </c>
      <c r="B27" s="24" t="s">
        <v>297</v>
      </c>
      <c r="C27" s="24" t="s">
        <v>3</v>
      </c>
      <c r="D27" s="24" t="s">
        <v>20</v>
      </c>
      <c r="E27" s="24" t="s">
        <v>506</v>
      </c>
      <c r="F27" s="24" t="s">
        <v>507</v>
      </c>
      <c r="G27" s="24" t="s">
        <v>508</v>
      </c>
      <c r="H27" s="24" t="s">
        <v>509</v>
      </c>
      <c r="I27" s="24" t="s">
        <v>491</v>
      </c>
      <c r="J27" s="24" t="s">
        <v>477</v>
      </c>
      <c r="K27" s="24" t="s">
        <v>510</v>
      </c>
      <c r="L27" s="21" t="s">
        <v>379</v>
      </c>
      <c r="M27" s="25" t="s">
        <v>511</v>
      </c>
      <c r="N27" s="26" t="s">
        <v>44</v>
      </c>
    </row>
    <row r="28" customFormat="false" ht="66" hidden="false" customHeight="true" outlineLevel="0" collapsed="false">
      <c r="A28" s="20" t="s">
        <v>301</v>
      </c>
      <c r="B28" s="20" t="s">
        <v>302</v>
      </c>
      <c r="C28" s="20" t="s">
        <v>3</v>
      </c>
      <c r="D28" s="20" t="s">
        <v>20</v>
      </c>
      <c r="E28" s="20" t="s">
        <v>512</v>
      </c>
      <c r="F28" s="20" t="s">
        <v>513</v>
      </c>
      <c r="G28" s="20" t="s">
        <v>514</v>
      </c>
      <c r="H28" s="20" t="s">
        <v>515</v>
      </c>
      <c r="I28" s="20" t="s">
        <v>491</v>
      </c>
      <c r="J28" s="20" t="s">
        <v>477</v>
      </c>
      <c r="K28" s="20" t="s">
        <v>516</v>
      </c>
      <c r="L28" s="21" t="s">
        <v>379</v>
      </c>
      <c r="M28" s="22" t="s">
        <v>517</v>
      </c>
      <c r="N28" s="26" t="s">
        <v>44</v>
      </c>
    </row>
    <row r="29" customFormat="false" ht="66" hidden="false" customHeight="true" outlineLevel="0" collapsed="false">
      <c r="A29" s="20" t="s">
        <v>306</v>
      </c>
      <c r="B29" s="20" t="s">
        <v>518</v>
      </c>
      <c r="C29" s="20" t="s">
        <v>3</v>
      </c>
      <c r="D29" s="20" t="s">
        <v>20</v>
      </c>
      <c r="E29" s="20" t="s">
        <v>519</v>
      </c>
      <c r="F29" s="20" t="s">
        <v>520</v>
      </c>
      <c r="G29" s="20" t="s">
        <v>521</v>
      </c>
      <c r="H29" s="20" t="s">
        <v>522</v>
      </c>
      <c r="I29" s="20" t="s">
        <v>491</v>
      </c>
      <c r="J29" s="20" t="s">
        <v>477</v>
      </c>
      <c r="K29" s="20" t="s">
        <v>523</v>
      </c>
      <c r="L29" s="21" t="s">
        <v>379</v>
      </c>
      <c r="M29" s="22" t="s">
        <v>524</v>
      </c>
      <c r="N29" s="26" t="s">
        <v>44</v>
      </c>
    </row>
    <row r="30" customFormat="false" ht="15.75" hidden="false" customHeight="true" outlineLevel="0" collapsed="false">
      <c r="A30" s="20" t="s">
        <v>311</v>
      </c>
      <c r="B30" s="20" t="s">
        <v>525</v>
      </c>
      <c r="C30" s="20" t="s">
        <v>4</v>
      </c>
      <c r="D30" s="20" t="s">
        <v>319</v>
      </c>
      <c r="E30" s="20" t="s">
        <v>526</v>
      </c>
      <c r="F30" s="20" t="s">
        <v>527</v>
      </c>
      <c r="G30" s="20" t="s">
        <v>528</v>
      </c>
      <c r="H30" s="20" t="s">
        <v>529</v>
      </c>
      <c r="I30" s="20" t="s">
        <v>530</v>
      </c>
      <c r="J30" s="20" t="s">
        <v>9</v>
      </c>
      <c r="K30" s="20" t="s">
        <v>531</v>
      </c>
      <c r="L30" s="21" t="s">
        <v>379</v>
      </c>
      <c r="M30" s="22" t="s">
        <v>532</v>
      </c>
      <c r="N30" s="26" t="s">
        <v>44</v>
      </c>
    </row>
    <row r="31" customFormat="false" ht="15.75" hidden="false" customHeight="true" outlineLevel="0" collapsed="false">
      <c r="A31" s="24" t="s">
        <v>317</v>
      </c>
      <c r="B31" s="24" t="s">
        <v>318</v>
      </c>
      <c r="C31" s="24" t="s">
        <v>4</v>
      </c>
      <c r="D31" s="24" t="s">
        <v>319</v>
      </c>
      <c r="E31" s="24" t="s">
        <v>533</v>
      </c>
      <c r="F31" s="24" t="s">
        <v>534</v>
      </c>
      <c r="G31" s="24" t="s">
        <v>535</v>
      </c>
      <c r="H31" s="24" t="s">
        <v>536</v>
      </c>
      <c r="I31" s="24" t="s">
        <v>537</v>
      </c>
      <c r="J31" s="24" t="s">
        <v>9</v>
      </c>
      <c r="K31" s="24" t="s">
        <v>538</v>
      </c>
      <c r="L31" s="21" t="s">
        <v>379</v>
      </c>
      <c r="M31" s="25" t="s">
        <v>539</v>
      </c>
      <c r="N31" s="23" t="s">
        <v>60</v>
      </c>
    </row>
    <row r="32" customFormat="false" ht="15.75" hidden="false" customHeight="true" outlineLevel="0" collapsed="false">
      <c r="A32" s="24" t="s">
        <v>150</v>
      </c>
      <c r="B32" s="24" t="s">
        <v>151</v>
      </c>
      <c r="C32" s="24" t="s">
        <v>3</v>
      </c>
      <c r="D32" s="24" t="s">
        <v>26</v>
      </c>
      <c r="E32" s="24" t="s">
        <v>540</v>
      </c>
      <c r="F32" s="24" t="s">
        <v>541</v>
      </c>
      <c r="G32" s="24" t="s">
        <v>542</v>
      </c>
      <c r="H32" s="24" t="s">
        <v>543</v>
      </c>
      <c r="I32" s="24" t="s">
        <v>544</v>
      </c>
      <c r="J32" s="24" t="s">
        <v>9</v>
      </c>
      <c r="K32" s="24" t="s">
        <v>545</v>
      </c>
      <c r="L32" s="21" t="s">
        <v>379</v>
      </c>
      <c r="M32" s="25" t="s">
        <v>546</v>
      </c>
      <c r="N32" s="26" t="s">
        <v>44</v>
      </c>
    </row>
    <row r="33" customFormat="false" ht="15.75" hidden="false" customHeight="true" outlineLevel="0" collapsed="false">
      <c r="A33" s="20" t="s">
        <v>155</v>
      </c>
      <c r="B33" s="20" t="s">
        <v>156</v>
      </c>
      <c r="C33" s="20" t="s">
        <v>3</v>
      </c>
      <c r="D33" s="20" t="s">
        <v>26</v>
      </c>
      <c r="E33" s="20" t="s">
        <v>547</v>
      </c>
      <c r="F33" s="20" t="s">
        <v>548</v>
      </c>
      <c r="G33" s="20" t="s">
        <v>549</v>
      </c>
      <c r="H33" s="20" t="s">
        <v>550</v>
      </c>
      <c r="I33" s="20" t="s">
        <v>551</v>
      </c>
      <c r="J33" s="20" t="s">
        <v>9</v>
      </c>
      <c r="K33" s="20" t="s">
        <v>552</v>
      </c>
      <c r="L33" s="21" t="s">
        <v>379</v>
      </c>
      <c r="M33" s="22" t="s">
        <v>553</v>
      </c>
      <c r="N33" s="26" t="s">
        <v>44</v>
      </c>
    </row>
    <row r="34" customFormat="false" ht="15.75" hidden="false" customHeight="true" outlineLevel="0" collapsed="false">
      <c r="A34" s="2"/>
      <c r="B34" s="2"/>
      <c r="C34" s="2"/>
      <c r="D34" s="2"/>
      <c r="E34" s="2"/>
      <c r="F34" s="2"/>
      <c r="G34" s="2"/>
      <c r="H34" s="2"/>
      <c r="I34" s="2"/>
      <c r="J34" s="2"/>
      <c r="K34" s="2"/>
      <c r="L34" s="2"/>
      <c r="M34" s="2"/>
      <c r="N34" s="2"/>
    </row>
    <row r="35" customFormat="false" ht="15.75" hidden="false" customHeight="true" outlineLevel="0" collapsed="false">
      <c r="A35" s="2"/>
      <c r="B35" s="2"/>
      <c r="C35" s="2"/>
      <c r="D35" s="2"/>
      <c r="E35" s="2"/>
      <c r="F35" s="2"/>
      <c r="G35" s="2"/>
      <c r="H35" s="2"/>
      <c r="I35" s="2"/>
      <c r="J35" s="2"/>
      <c r="K35" s="2"/>
      <c r="L35" s="2"/>
      <c r="M35" s="2"/>
      <c r="N35" s="2"/>
    </row>
    <row r="36" customFormat="false" ht="15.75" hidden="false" customHeight="true" outlineLevel="0" collapsed="false">
      <c r="A36" s="2"/>
      <c r="B36" s="2"/>
      <c r="C36" s="2"/>
      <c r="D36" s="2"/>
      <c r="E36" s="2"/>
      <c r="F36" s="2"/>
      <c r="G36" s="2"/>
      <c r="H36" s="2"/>
      <c r="I36" s="2"/>
      <c r="J36" s="2"/>
      <c r="K36" s="2"/>
      <c r="L36" s="2"/>
      <c r="M36" s="2"/>
      <c r="N36" s="2"/>
    </row>
    <row r="37" customFormat="false" ht="15.75" hidden="false" customHeight="true" outlineLevel="0" collapsed="false">
      <c r="A37" s="2"/>
      <c r="B37" s="2"/>
      <c r="C37" s="2"/>
      <c r="D37" s="2"/>
      <c r="E37" s="2"/>
      <c r="F37" s="2"/>
      <c r="G37" s="2"/>
      <c r="H37" s="2"/>
      <c r="I37" s="2"/>
      <c r="J37" s="2"/>
      <c r="K37" s="2"/>
      <c r="L37" s="2"/>
      <c r="M37" s="2"/>
      <c r="N37" s="2"/>
    </row>
    <row r="38" customFormat="false" ht="15.75" hidden="false" customHeight="true" outlineLevel="0" collapsed="false">
      <c r="A38" s="2"/>
      <c r="B38" s="2"/>
      <c r="C38" s="2"/>
      <c r="D38" s="2"/>
      <c r="E38" s="2"/>
      <c r="F38" s="2"/>
      <c r="G38" s="2"/>
      <c r="H38" s="2"/>
      <c r="I38" s="2"/>
      <c r="J38" s="2"/>
      <c r="K38" s="2"/>
      <c r="L38" s="2"/>
      <c r="M38" s="2"/>
      <c r="N38" s="2"/>
    </row>
    <row r="39" customFormat="false" ht="15.75" hidden="false" customHeight="true" outlineLevel="0" collapsed="false">
      <c r="A39" s="2"/>
      <c r="B39" s="2"/>
      <c r="C39" s="2"/>
      <c r="D39" s="2"/>
      <c r="E39" s="2"/>
      <c r="F39" s="2"/>
      <c r="G39" s="2"/>
      <c r="H39" s="2"/>
      <c r="I39" s="2"/>
      <c r="J39" s="2"/>
      <c r="K39" s="2"/>
      <c r="L39" s="2"/>
      <c r="M39" s="2"/>
      <c r="N39" s="2"/>
    </row>
    <row r="40" customFormat="false" ht="15.75" hidden="false" customHeight="true" outlineLevel="0" collapsed="false">
      <c r="A40" s="2"/>
      <c r="B40" s="2"/>
      <c r="C40" s="2"/>
      <c r="D40" s="2"/>
      <c r="E40" s="2"/>
      <c r="F40" s="2"/>
      <c r="G40" s="2"/>
      <c r="H40" s="2"/>
      <c r="I40" s="2"/>
      <c r="J40" s="2"/>
      <c r="K40" s="2"/>
      <c r="L40" s="2"/>
      <c r="M40" s="2"/>
      <c r="N40" s="2"/>
    </row>
    <row r="41" customFormat="false" ht="15.75" hidden="false" customHeight="true" outlineLevel="0" collapsed="false">
      <c r="A41" s="2"/>
      <c r="B41" s="2"/>
      <c r="C41" s="2"/>
      <c r="D41" s="2"/>
      <c r="E41" s="2"/>
      <c r="F41" s="2"/>
      <c r="G41" s="2"/>
      <c r="H41" s="2"/>
      <c r="I41" s="2"/>
      <c r="J41" s="2"/>
      <c r="K41" s="2"/>
      <c r="L41" s="2"/>
      <c r="M41" s="2"/>
      <c r="N41" s="2"/>
    </row>
    <row r="42" customFormat="false" ht="15.75" hidden="false" customHeight="true" outlineLevel="0" collapsed="false">
      <c r="A42" s="2"/>
      <c r="B42" s="2"/>
      <c r="C42" s="2"/>
      <c r="D42" s="2"/>
      <c r="E42" s="2"/>
      <c r="F42" s="2"/>
      <c r="G42" s="2"/>
      <c r="H42" s="2"/>
      <c r="I42" s="2"/>
      <c r="J42" s="2"/>
      <c r="K42" s="2"/>
      <c r="L42" s="2"/>
      <c r="M42" s="2"/>
      <c r="N42" s="2"/>
    </row>
    <row r="43" customFormat="false" ht="15.75" hidden="false" customHeight="true" outlineLevel="0" collapsed="false">
      <c r="A43" s="2"/>
      <c r="B43" s="2"/>
      <c r="C43" s="2"/>
      <c r="D43" s="2"/>
      <c r="E43" s="2"/>
      <c r="F43" s="2"/>
      <c r="G43" s="2"/>
      <c r="H43" s="2"/>
      <c r="I43" s="2"/>
      <c r="J43" s="2"/>
      <c r="K43" s="2"/>
      <c r="L43" s="2"/>
      <c r="M43" s="2"/>
      <c r="N43" s="2"/>
    </row>
    <row r="44" customFormat="false" ht="15.75" hidden="false" customHeight="true" outlineLevel="0" collapsed="false">
      <c r="A44" s="2"/>
      <c r="B44" s="2"/>
      <c r="C44" s="2"/>
      <c r="D44" s="2"/>
      <c r="E44" s="2"/>
      <c r="F44" s="2"/>
      <c r="G44" s="2"/>
      <c r="H44" s="2"/>
      <c r="I44" s="2"/>
      <c r="J44" s="2"/>
      <c r="K44" s="2"/>
      <c r="L44" s="2"/>
      <c r="M44" s="2"/>
      <c r="N44" s="2"/>
    </row>
    <row r="45" customFormat="false" ht="15.75" hidden="false" customHeight="true" outlineLevel="0" collapsed="false">
      <c r="A45" s="2"/>
      <c r="B45" s="2"/>
      <c r="C45" s="2"/>
      <c r="D45" s="2"/>
      <c r="E45" s="2"/>
      <c r="F45" s="2"/>
      <c r="G45" s="2"/>
      <c r="H45" s="2"/>
      <c r="I45" s="2"/>
      <c r="J45" s="2"/>
      <c r="K45" s="2"/>
      <c r="L45" s="2"/>
      <c r="M45" s="2"/>
      <c r="N45" s="2"/>
    </row>
    <row r="46" customFormat="false" ht="15.75" hidden="false" customHeight="true" outlineLevel="0" collapsed="false">
      <c r="A46" s="2"/>
      <c r="B46" s="2"/>
      <c r="C46" s="2"/>
      <c r="D46" s="2"/>
      <c r="E46" s="2"/>
      <c r="F46" s="2"/>
      <c r="G46" s="2"/>
      <c r="H46" s="2"/>
      <c r="I46" s="2"/>
      <c r="J46" s="2"/>
      <c r="K46" s="2"/>
      <c r="L46" s="2"/>
      <c r="M46" s="2"/>
      <c r="N46" s="2"/>
    </row>
    <row r="47" customFormat="false" ht="15.75" hidden="false" customHeight="true" outlineLevel="0" collapsed="false">
      <c r="A47" s="2"/>
      <c r="B47" s="2"/>
      <c r="C47" s="2"/>
      <c r="D47" s="2"/>
      <c r="E47" s="2"/>
      <c r="F47" s="2"/>
      <c r="G47" s="2"/>
      <c r="H47" s="2"/>
      <c r="I47" s="2"/>
      <c r="J47" s="2"/>
      <c r="K47" s="2"/>
      <c r="L47" s="2"/>
      <c r="M47" s="2"/>
      <c r="N47" s="2"/>
    </row>
    <row r="48" customFormat="false" ht="15.75" hidden="false" customHeight="true" outlineLevel="0" collapsed="false">
      <c r="A48" s="2"/>
      <c r="B48" s="2"/>
      <c r="C48" s="2"/>
      <c r="D48" s="2"/>
      <c r="E48" s="2"/>
      <c r="F48" s="2"/>
      <c r="G48" s="2"/>
      <c r="H48" s="2"/>
      <c r="I48" s="2"/>
      <c r="J48" s="2"/>
      <c r="K48" s="2"/>
      <c r="L48" s="2"/>
      <c r="M48" s="2"/>
      <c r="N48" s="2"/>
    </row>
    <row r="49" customFormat="false" ht="15.75" hidden="false" customHeight="true" outlineLevel="0" collapsed="false">
      <c r="A49" s="2"/>
      <c r="B49" s="2"/>
      <c r="C49" s="2"/>
      <c r="D49" s="2"/>
      <c r="E49" s="2"/>
      <c r="F49" s="2"/>
      <c r="G49" s="2"/>
      <c r="H49" s="2"/>
      <c r="I49" s="2"/>
      <c r="J49" s="2"/>
      <c r="K49" s="2"/>
      <c r="L49" s="2"/>
      <c r="M49" s="2"/>
      <c r="N49" s="2"/>
    </row>
    <row r="50" customFormat="false" ht="15.75" hidden="false" customHeight="true" outlineLevel="0" collapsed="false">
      <c r="A50" s="2"/>
      <c r="B50" s="2"/>
      <c r="C50" s="2"/>
      <c r="D50" s="2"/>
      <c r="E50" s="2"/>
      <c r="F50" s="2"/>
      <c r="G50" s="2"/>
      <c r="H50" s="2"/>
      <c r="I50" s="2"/>
      <c r="J50" s="2"/>
      <c r="K50" s="2"/>
      <c r="L50" s="2"/>
      <c r="M50" s="2"/>
      <c r="N50" s="2"/>
    </row>
    <row r="51" customFormat="false" ht="15.75" hidden="false" customHeight="true" outlineLevel="0" collapsed="false">
      <c r="A51" s="2"/>
      <c r="B51" s="2"/>
      <c r="C51" s="2"/>
      <c r="D51" s="2"/>
      <c r="E51" s="2"/>
      <c r="F51" s="2"/>
      <c r="G51" s="2"/>
      <c r="H51" s="2"/>
      <c r="I51" s="2"/>
      <c r="J51" s="2"/>
      <c r="K51" s="2"/>
      <c r="L51" s="2"/>
      <c r="M51" s="2"/>
      <c r="N51" s="2"/>
    </row>
    <row r="52" customFormat="false" ht="15.75" hidden="false" customHeight="true" outlineLevel="0" collapsed="false">
      <c r="A52" s="2"/>
      <c r="B52" s="2"/>
      <c r="C52" s="2"/>
      <c r="D52" s="2"/>
      <c r="E52" s="2"/>
      <c r="F52" s="2"/>
      <c r="G52" s="2"/>
      <c r="H52" s="2"/>
      <c r="I52" s="2"/>
      <c r="J52" s="2"/>
      <c r="K52" s="2"/>
      <c r="L52" s="2"/>
      <c r="M52" s="2"/>
      <c r="N52" s="2"/>
    </row>
    <row r="53" customFormat="false" ht="15.75" hidden="false" customHeight="true" outlineLevel="0" collapsed="false">
      <c r="A53" s="2"/>
      <c r="B53" s="2"/>
      <c r="C53" s="2"/>
      <c r="D53" s="2"/>
      <c r="E53" s="2"/>
      <c r="F53" s="2"/>
      <c r="G53" s="2"/>
      <c r="H53" s="2"/>
      <c r="I53" s="2"/>
      <c r="J53" s="2"/>
      <c r="K53" s="2"/>
      <c r="L53" s="2"/>
      <c r="M53" s="2"/>
      <c r="N53" s="2"/>
    </row>
    <row r="54" customFormat="false" ht="15.75" hidden="false" customHeight="true" outlineLevel="0" collapsed="false">
      <c r="A54" s="2"/>
      <c r="B54" s="2"/>
      <c r="C54" s="2"/>
      <c r="D54" s="2"/>
      <c r="E54" s="2"/>
      <c r="F54" s="2"/>
      <c r="G54" s="2"/>
      <c r="H54" s="2"/>
      <c r="I54" s="2"/>
      <c r="J54" s="2"/>
      <c r="K54" s="2"/>
      <c r="L54" s="2"/>
      <c r="M54" s="2"/>
      <c r="N54" s="2"/>
    </row>
    <row r="55" customFormat="false" ht="15.75" hidden="false" customHeight="true" outlineLevel="0" collapsed="false">
      <c r="A55" s="2"/>
      <c r="B55" s="2"/>
      <c r="C55" s="2"/>
      <c r="D55" s="2"/>
      <c r="E55" s="2"/>
      <c r="F55" s="2"/>
      <c r="G55" s="2"/>
      <c r="H55" s="2"/>
      <c r="I55" s="2"/>
      <c r="J55" s="2"/>
      <c r="K55" s="2"/>
      <c r="L55" s="2"/>
      <c r="M55" s="2"/>
      <c r="N55" s="2"/>
    </row>
    <row r="56" customFormat="false" ht="15.75" hidden="false" customHeight="true" outlineLevel="0" collapsed="false">
      <c r="A56" s="2"/>
      <c r="B56" s="2"/>
      <c r="C56" s="2"/>
      <c r="D56" s="2"/>
      <c r="E56" s="2"/>
      <c r="F56" s="2"/>
      <c r="G56" s="2"/>
      <c r="H56" s="2"/>
      <c r="I56" s="2"/>
      <c r="J56" s="2"/>
      <c r="K56" s="2"/>
      <c r="L56" s="2"/>
      <c r="M56" s="2"/>
      <c r="N56" s="2"/>
    </row>
    <row r="57" customFormat="false" ht="15.75" hidden="false" customHeight="true" outlineLevel="0" collapsed="false">
      <c r="A57" s="2"/>
      <c r="B57" s="2"/>
      <c r="C57" s="2"/>
      <c r="D57" s="2"/>
      <c r="E57" s="2"/>
      <c r="F57" s="2"/>
      <c r="G57" s="2"/>
      <c r="H57" s="2"/>
      <c r="I57" s="2"/>
      <c r="J57" s="2"/>
      <c r="K57" s="2"/>
      <c r="L57" s="2"/>
      <c r="M57" s="2"/>
      <c r="N57" s="2"/>
    </row>
    <row r="58" customFormat="false" ht="15.75" hidden="false" customHeight="true" outlineLevel="0" collapsed="false">
      <c r="A58" s="2"/>
      <c r="B58" s="2"/>
      <c r="C58" s="2"/>
      <c r="D58" s="2"/>
      <c r="E58" s="2"/>
      <c r="F58" s="2"/>
      <c r="G58" s="2"/>
      <c r="H58" s="2"/>
      <c r="I58" s="2"/>
      <c r="J58" s="2"/>
      <c r="K58" s="2"/>
      <c r="L58" s="2"/>
      <c r="M58" s="2"/>
      <c r="N58" s="2"/>
    </row>
    <row r="59" customFormat="false" ht="15.75" hidden="false" customHeight="true" outlineLevel="0" collapsed="false">
      <c r="A59" s="2"/>
      <c r="B59" s="2"/>
      <c r="C59" s="2"/>
      <c r="D59" s="2"/>
      <c r="E59" s="2"/>
      <c r="F59" s="2"/>
      <c r="G59" s="2"/>
      <c r="H59" s="2"/>
      <c r="I59" s="2"/>
      <c r="J59" s="2"/>
      <c r="K59" s="2"/>
      <c r="L59" s="2"/>
      <c r="M59" s="2"/>
      <c r="N59" s="2"/>
    </row>
    <row r="60" customFormat="false" ht="15.75" hidden="false" customHeight="true" outlineLevel="0" collapsed="false">
      <c r="A60" s="2"/>
      <c r="B60" s="2"/>
      <c r="C60" s="2"/>
      <c r="D60" s="2"/>
      <c r="E60" s="2"/>
      <c r="F60" s="2"/>
      <c r="G60" s="2"/>
      <c r="H60" s="2"/>
      <c r="I60" s="2"/>
      <c r="J60" s="2"/>
      <c r="K60" s="2"/>
      <c r="L60" s="2"/>
      <c r="M60" s="2"/>
      <c r="N60" s="2"/>
    </row>
    <row r="61" customFormat="false" ht="15.75" hidden="false" customHeight="true" outlineLevel="0" collapsed="false">
      <c r="A61" s="2"/>
      <c r="B61" s="2"/>
      <c r="C61" s="2"/>
      <c r="D61" s="2"/>
      <c r="E61" s="2"/>
      <c r="F61" s="2"/>
      <c r="G61" s="2"/>
      <c r="H61" s="2"/>
      <c r="I61" s="2"/>
      <c r="J61" s="2"/>
      <c r="K61" s="2"/>
      <c r="L61" s="2"/>
      <c r="M61" s="2"/>
      <c r="N61" s="2"/>
    </row>
    <row r="62" customFormat="false" ht="15.75" hidden="false" customHeight="true" outlineLevel="0" collapsed="false">
      <c r="A62" s="2"/>
      <c r="B62" s="2"/>
      <c r="C62" s="2"/>
      <c r="D62" s="2"/>
      <c r="E62" s="2"/>
      <c r="F62" s="2"/>
      <c r="G62" s="2"/>
      <c r="H62" s="2"/>
      <c r="I62" s="2"/>
      <c r="J62" s="2"/>
      <c r="K62" s="2"/>
      <c r="L62" s="2"/>
      <c r="M62" s="2"/>
      <c r="N62" s="2"/>
    </row>
    <row r="63" customFormat="false" ht="15.75" hidden="false" customHeight="true" outlineLevel="0" collapsed="false">
      <c r="A63" s="2"/>
      <c r="B63" s="2"/>
      <c r="C63" s="2"/>
      <c r="D63" s="2"/>
      <c r="E63" s="2"/>
      <c r="F63" s="2"/>
      <c r="G63" s="2"/>
      <c r="H63" s="2"/>
      <c r="I63" s="2"/>
      <c r="J63" s="2"/>
      <c r="K63" s="2"/>
      <c r="L63" s="2"/>
      <c r="M63" s="2"/>
      <c r="N63" s="2"/>
    </row>
    <row r="64" customFormat="false" ht="15.75" hidden="false" customHeight="true" outlineLevel="0" collapsed="false">
      <c r="A64" s="2"/>
      <c r="B64" s="2"/>
      <c r="C64" s="2"/>
      <c r="D64" s="2"/>
      <c r="E64" s="2"/>
      <c r="F64" s="2"/>
      <c r="G64" s="2"/>
      <c r="H64" s="2"/>
      <c r="I64" s="2"/>
      <c r="J64" s="2"/>
      <c r="K64" s="2"/>
      <c r="L64" s="2"/>
      <c r="M64" s="2"/>
      <c r="N64" s="2"/>
    </row>
    <row r="65" customFormat="false" ht="15.75" hidden="false" customHeight="true" outlineLevel="0" collapsed="false">
      <c r="A65" s="2"/>
      <c r="B65" s="2"/>
      <c r="C65" s="2"/>
      <c r="D65" s="2"/>
      <c r="E65" s="2"/>
      <c r="F65" s="2"/>
      <c r="G65" s="2"/>
      <c r="H65" s="2"/>
      <c r="I65" s="2"/>
      <c r="J65" s="2"/>
      <c r="K65" s="2"/>
      <c r="L65" s="2"/>
      <c r="M65" s="2"/>
      <c r="N65" s="2"/>
    </row>
    <row r="66" customFormat="false" ht="15.75" hidden="false" customHeight="true" outlineLevel="0" collapsed="false">
      <c r="A66" s="2"/>
      <c r="B66" s="2"/>
      <c r="C66" s="2"/>
      <c r="D66" s="2"/>
      <c r="E66" s="2"/>
      <c r="F66" s="2"/>
      <c r="G66" s="2"/>
      <c r="H66" s="2"/>
      <c r="I66" s="2"/>
      <c r="J66" s="2"/>
      <c r="K66" s="2"/>
      <c r="L66" s="2"/>
      <c r="M66" s="2"/>
      <c r="N66" s="2"/>
    </row>
    <row r="67" customFormat="false" ht="15.75" hidden="false" customHeight="true" outlineLevel="0" collapsed="false">
      <c r="A67" s="2"/>
      <c r="B67" s="2"/>
      <c r="C67" s="2"/>
      <c r="D67" s="2"/>
      <c r="E67" s="2"/>
      <c r="F67" s="2"/>
      <c r="G67" s="2"/>
      <c r="H67" s="2"/>
      <c r="I67" s="2"/>
      <c r="J67" s="2"/>
      <c r="K67" s="2"/>
      <c r="L67" s="2"/>
      <c r="M67" s="2"/>
      <c r="N67" s="2"/>
    </row>
    <row r="68" customFormat="false" ht="15.75" hidden="false" customHeight="true" outlineLevel="0" collapsed="false">
      <c r="A68" s="2"/>
      <c r="B68" s="2"/>
      <c r="C68" s="2"/>
      <c r="D68" s="2"/>
      <c r="E68" s="2"/>
      <c r="F68" s="2"/>
      <c r="G68" s="2"/>
      <c r="H68" s="2"/>
      <c r="I68" s="2"/>
      <c r="J68" s="2"/>
      <c r="K68" s="2"/>
      <c r="L68" s="2"/>
      <c r="M68" s="2"/>
      <c r="N68" s="2"/>
    </row>
    <row r="69" customFormat="false" ht="15.75" hidden="false" customHeight="true" outlineLevel="0" collapsed="false">
      <c r="A69" s="2"/>
      <c r="B69" s="2"/>
      <c r="C69" s="2"/>
      <c r="D69" s="2"/>
      <c r="E69" s="2"/>
      <c r="F69" s="2"/>
      <c r="G69" s="2"/>
      <c r="H69" s="2"/>
      <c r="I69" s="2"/>
      <c r="J69" s="2"/>
      <c r="K69" s="2"/>
      <c r="L69" s="2"/>
      <c r="M69" s="2"/>
      <c r="N69" s="2"/>
    </row>
    <row r="70" customFormat="false" ht="15.75" hidden="false" customHeight="true" outlineLevel="0" collapsed="false">
      <c r="A70" s="2"/>
      <c r="B70" s="2"/>
      <c r="C70" s="2"/>
      <c r="D70" s="2"/>
      <c r="E70" s="2"/>
      <c r="F70" s="2"/>
      <c r="G70" s="2"/>
      <c r="H70" s="2"/>
      <c r="I70" s="2"/>
      <c r="J70" s="2"/>
      <c r="K70" s="2"/>
      <c r="L70" s="2"/>
      <c r="M70" s="2"/>
      <c r="N70" s="2"/>
    </row>
    <row r="71" customFormat="false" ht="15.75" hidden="false" customHeight="true" outlineLevel="0" collapsed="false">
      <c r="A71" s="2"/>
      <c r="B71" s="2"/>
      <c r="C71" s="2"/>
      <c r="D71" s="2"/>
      <c r="E71" s="2"/>
      <c r="F71" s="2"/>
      <c r="G71" s="2"/>
      <c r="H71" s="2"/>
      <c r="I71" s="2"/>
      <c r="J71" s="2"/>
      <c r="K71" s="2"/>
      <c r="L71" s="2"/>
      <c r="M71" s="2"/>
      <c r="N71" s="2"/>
    </row>
    <row r="72" customFormat="false" ht="15.75" hidden="false" customHeight="true" outlineLevel="0" collapsed="false">
      <c r="A72" s="2"/>
      <c r="B72" s="2"/>
      <c r="C72" s="2"/>
      <c r="D72" s="2"/>
      <c r="E72" s="2"/>
      <c r="F72" s="2"/>
      <c r="G72" s="2"/>
      <c r="H72" s="2"/>
      <c r="I72" s="2"/>
      <c r="J72" s="2"/>
      <c r="K72" s="2"/>
      <c r="L72" s="2"/>
      <c r="M72" s="2"/>
      <c r="N72" s="2"/>
    </row>
    <row r="73" customFormat="false" ht="15.75" hidden="false" customHeight="true" outlineLevel="0" collapsed="false">
      <c r="A73" s="2"/>
      <c r="B73" s="2"/>
      <c r="C73" s="2"/>
      <c r="D73" s="2"/>
      <c r="E73" s="2"/>
      <c r="F73" s="2"/>
      <c r="G73" s="2"/>
      <c r="H73" s="2"/>
      <c r="I73" s="2"/>
      <c r="J73" s="2"/>
      <c r="K73" s="2"/>
      <c r="L73" s="2"/>
      <c r="M73" s="2"/>
      <c r="N73" s="2"/>
    </row>
    <row r="74" customFormat="false" ht="15.75" hidden="false" customHeight="true" outlineLevel="0" collapsed="false">
      <c r="A74" s="2"/>
      <c r="B74" s="2"/>
      <c r="C74" s="2"/>
      <c r="D74" s="2"/>
      <c r="E74" s="2"/>
      <c r="F74" s="2"/>
      <c r="G74" s="2"/>
      <c r="H74" s="2"/>
      <c r="I74" s="2"/>
      <c r="J74" s="2"/>
      <c r="K74" s="2"/>
      <c r="L74" s="2"/>
      <c r="M74" s="2"/>
      <c r="N74" s="2"/>
    </row>
    <row r="75" customFormat="false" ht="15.75" hidden="false" customHeight="true" outlineLevel="0" collapsed="false">
      <c r="A75" s="2"/>
      <c r="B75" s="2"/>
      <c r="C75" s="2"/>
      <c r="D75" s="2"/>
      <c r="E75" s="2"/>
      <c r="F75" s="2"/>
      <c r="G75" s="2"/>
      <c r="H75" s="2"/>
      <c r="I75" s="2"/>
      <c r="J75" s="2"/>
      <c r="K75" s="2"/>
      <c r="L75" s="2"/>
      <c r="M75" s="2"/>
      <c r="N75" s="2"/>
    </row>
    <row r="76" customFormat="false" ht="15.75" hidden="false" customHeight="true" outlineLevel="0" collapsed="false">
      <c r="A76" s="2"/>
      <c r="B76" s="2"/>
      <c r="C76" s="2"/>
      <c r="D76" s="2"/>
      <c r="E76" s="2"/>
      <c r="F76" s="2"/>
      <c r="G76" s="2"/>
      <c r="H76" s="2"/>
      <c r="I76" s="2"/>
      <c r="J76" s="2"/>
      <c r="K76" s="2"/>
      <c r="L76" s="2"/>
      <c r="M76" s="2"/>
      <c r="N76" s="2"/>
    </row>
    <row r="77" customFormat="false" ht="15.75" hidden="false" customHeight="true" outlineLevel="0" collapsed="false">
      <c r="A77" s="2"/>
      <c r="B77" s="2"/>
      <c r="C77" s="2"/>
      <c r="D77" s="2"/>
      <c r="E77" s="2"/>
      <c r="F77" s="2"/>
      <c r="G77" s="2"/>
      <c r="H77" s="2"/>
      <c r="I77" s="2"/>
      <c r="J77" s="2"/>
      <c r="K77" s="2"/>
      <c r="L77" s="2"/>
      <c r="M77" s="2"/>
      <c r="N77" s="2"/>
    </row>
    <row r="78" customFormat="false" ht="15.75" hidden="false" customHeight="true" outlineLevel="0" collapsed="false">
      <c r="A78" s="2"/>
      <c r="B78" s="2"/>
      <c r="C78" s="2"/>
      <c r="D78" s="2"/>
      <c r="E78" s="2"/>
      <c r="F78" s="2"/>
      <c r="G78" s="2"/>
      <c r="H78" s="2"/>
      <c r="I78" s="2"/>
      <c r="J78" s="2"/>
      <c r="K78" s="2"/>
      <c r="L78" s="2"/>
      <c r="M78" s="2"/>
      <c r="N78" s="2"/>
    </row>
    <row r="79" customFormat="false" ht="15.75" hidden="false" customHeight="true" outlineLevel="0" collapsed="false">
      <c r="A79" s="2"/>
      <c r="B79" s="2"/>
      <c r="C79" s="2"/>
      <c r="D79" s="2"/>
      <c r="E79" s="2"/>
      <c r="F79" s="2"/>
      <c r="G79" s="2"/>
      <c r="H79" s="2"/>
      <c r="I79" s="2"/>
      <c r="J79" s="2"/>
      <c r="K79" s="2"/>
      <c r="L79" s="2"/>
      <c r="M79" s="2"/>
      <c r="N79" s="2"/>
    </row>
    <row r="80" customFormat="false" ht="15.75" hidden="false" customHeight="true" outlineLevel="0" collapsed="false">
      <c r="A80" s="2"/>
      <c r="B80" s="2"/>
      <c r="C80" s="2"/>
      <c r="D80" s="2"/>
      <c r="E80" s="2"/>
      <c r="F80" s="2"/>
      <c r="G80" s="2"/>
      <c r="H80" s="2"/>
      <c r="I80" s="2"/>
      <c r="J80" s="2"/>
      <c r="K80" s="2"/>
      <c r="L80" s="2"/>
      <c r="M80" s="2"/>
      <c r="N80" s="2"/>
    </row>
    <row r="81" customFormat="false" ht="15.75" hidden="false" customHeight="true" outlineLevel="0" collapsed="false">
      <c r="A81" s="2"/>
      <c r="B81" s="2"/>
      <c r="C81" s="2"/>
      <c r="D81" s="2"/>
      <c r="E81" s="2"/>
      <c r="F81" s="2"/>
      <c r="G81" s="2"/>
      <c r="H81" s="2"/>
      <c r="I81" s="2"/>
      <c r="J81" s="2"/>
      <c r="K81" s="2"/>
      <c r="L81" s="2"/>
      <c r="M81" s="2"/>
      <c r="N81" s="2"/>
    </row>
    <row r="82" customFormat="false" ht="15.75" hidden="false" customHeight="true" outlineLevel="0" collapsed="false">
      <c r="A82" s="2"/>
      <c r="B82" s="2"/>
      <c r="C82" s="2"/>
      <c r="D82" s="2"/>
      <c r="E82" s="2"/>
      <c r="F82" s="2"/>
      <c r="G82" s="2"/>
      <c r="H82" s="2"/>
      <c r="I82" s="2"/>
      <c r="J82" s="2"/>
      <c r="K82" s="2"/>
      <c r="L82" s="2"/>
      <c r="M82" s="2"/>
      <c r="N82" s="2"/>
    </row>
    <row r="83" customFormat="false" ht="15.75" hidden="false" customHeight="true" outlineLevel="0" collapsed="false">
      <c r="A83" s="2"/>
      <c r="B83" s="2"/>
      <c r="C83" s="2"/>
      <c r="D83" s="2"/>
      <c r="E83" s="2"/>
      <c r="F83" s="2"/>
      <c r="G83" s="2"/>
      <c r="H83" s="2"/>
      <c r="I83" s="2"/>
      <c r="J83" s="2"/>
      <c r="K83" s="2"/>
      <c r="L83" s="2"/>
      <c r="M83" s="2"/>
      <c r="N83" s="2"/>
    </row>
    <row r="84" customFormat="false" ht="15.75" hidden="false" customHeight="true" outlineLevel="0" collapsed="false">
      <c r="A84" s="2"/>
      <c r="B84" s="2"/>
      <c r="C84" s="2"/>
      <c r="D84" s="2"/>
      <c r="E84" s="2"/>
      <c r="F84" s="2"/>
      <c r="G84" s="2"/>
      <c r="H84" s="2"/>
      <c r="I84" s="2"/>
      <c r="J84" s="2"/>
      <c r="K84" s="2"/>
      <c r="L84" s="2"/>
      <c r="M84" s="2"/>
      <c r="N84" s="2"/>
    </row>
    <row r="85" customFormat="false" ht="15.75" hidden="false" customHeight="true" outlineLevel="0" collapsed="false">
      <c r="A85" s="2"/>
      <c r="B85" s="2"/>
      <c r="C85" s="2"/>
      <c r="D85" s="2"/>
      <c r="E85" s="2"/>
      <c r="F85" s="2"/>
      <c r="G85" s="2"/>
      <c r="H85" s="2"/>
      <c r="I85" s="2"/>
      <c r="J85" s="2"/>
      <c r="K85" s="2"/>
      <c r="L85" s="2"/>
      <c r="M85" s="2"/>
      <c r="N85" s="2"/>
    </row>
    <row r="86" customFormat="false" ht="15.75" hidden="false" customHeight="true" outlineLevel="0" collapsed="false">
      <c r="A86" s="2"/>
      <c r="B86" s="2"/>
      <c r="C86" s="2"/>
      <c r="D86" s="2"/>
      <c r="E86" s="2"/>
      <c r="F86" s="2"/>
      <c r="G86" s="2"/>
      <c r="H86" s="2"/>
      <c r="I86" s="2"/>
      <c r="J86" s="2"/>
      <c r="K86" s="2"/>
      <c r="L86" s="2"/>
      <c r="M86" s="2"/>
      <c r="N86" s="2"/>
    </row>
    <row r="87" customFormat="false" ht="15.75" hidden="false" customHeight="true" outlineLevel="0" collapsed="false">
      <c r="A87" s="2"/>
      <c r="B87" s="2"/>
      <c r="C87" s="2"/>
      <c r="D87" s="2"/>
      <c r="E87" s="2"/>
      <c r="F87" s="2"/>
      <c r="G87" s="2"/>
      <c r="H87" s="2"/>
      <c r="I87" s="2"/>
      <c r="J87" s="2"/>
      <c r="K87" s="2"/>
      <c r="L87" s="2"/>
      <c r="M87" s="2"/>
      <c r="N87" s="2"/>
    </row>
    <row r="88" customFormat="false" ht="15.75" hidden="false" customHeight="true" outlineLevel="0" collapsed="false">
      <c r="A88" s="2"/>
      <c r="B88" s="2"/>
      <c r="C88" s="2"/>
      <c r="D88" s="2"/>
      <c r="E88" s="2"/>
      <c r="F88" s="2"/>
      <c r="G88" s="2"/>
      <c r="H88" s="2"/>
      <c r="I88" s="2"/>
      <c r="J88" s="2"/>
      <c r="K88" s="2"/>
      <c r="L88" s="2"/>
      <c r="M88" s="2"/>
      <c r="N88" s="2"/>
    </row>
    <row r="89" customFormat="false" ht="15.75" hidden="false" customHeight="true" outlineLevel="0" collapsed="false">
      <c r="A89" s="2"/>
      <c r="B89" s="2"/>
      <c r="C89" s="2"/>
      <c r="D89" s="2"/>
      <c r="E89" s="2"/>
      <c r="F89" s="2"/>
      <c r="G89" s="2"/>
      <c r="H89" s="2"/>
      <c r="I89" s="2"/>
      <c r="J89" s="2"/>
      <c r="K89" s="2"/>
      <c r="L89" s="2"/>
      <c r="M89" s="2"/>
      <c r="N89" s="2"/>
    </row>
    <row r="90" customFormat="false" ht="15.75" hidden="false" customHeight="true" outlineLevel="0" collapsed="false">
      <c r="A90" s="2"/>
      <c r="B90" s="2"/>
      <c r="C90" s="2"/>
      <c r="D90" s="2"/>
      <c r="E90" s="2"/>
      <c r="F90" s="2"/>
      <c r="G90" s="2"/>
      <c r="H90" s="2"/>
      <c r="I90" s="2"/>
      <c r="J90" s="2"/>
      <c r="K90" s="2"/>
      <c r="L90" s="2"/>
      <c r="M90" s="2"/>
      <c r="N90" s="2"/>
    </row>
    <row r="91" customFormat="false" ht="15.75" hidden="false" customHeight="true" outlineLevel="0" collapsed="false">
      <c r="A91" s="2"/>
      <c r="B91" s="2"/>
      <c r="C91" s="2"/>
      <c r="D91" s="2"/>
      <c r="E91" s="2"/>
      <c r="F91" s="2"/>
      <c r="G91" s="2"/>
      <c r="H91" s="2"/>
      <c r="I91" s="2"/>
      <c r="J91" s="2"/>
      <c r="K91" s="2"/>
      <c r="L91" s="2"/>
      <c r="M91" s="2"/>
      <c r="N91" s="2"/>
    </row>
    <row r="92" customFormat="false" ht="15.75" hidden="false" customHeight="true" outlineLevel="0" collapsed="false">
      <c r="A92" s="2"/>
      <c r="B92" s="2"/>
      <c r="C92" s="2"/>
      <c r="D92" s="2"/>
      <c r="E92" s="2"/>
      <c r="F92" s="2"/>
      <c r="G92" s="2"/>
      <c r="H92" s="2"/>
      <c r="I92" s="2"/>
      <c r="J92" s="2"/>
      <c r="K92" s="2"/>
      <c r="L92" s="2"/>
      <c r="M92" s="2"/>
      <c r="N92" s="2"/>
    </row>
    <row r="93" customFormat="false" ht="15.75" hidden="false" customHeight="true" outlineLevel="0" collapsed="false">
      <c r="A93" s="2"/>
      <c r="B93" s="2"/>
      <c r="C93" s="2"/>
      <c r="D93" s="2"/>
      <c r="E93" s="2"/>
      <c r="F93" s="2"/>
      <c r="G93" s="2"/>
      <c r="H93" s="2"/>
      <c r="I93" s="2"/>
      <c r="J93" s="2"/>
      <c r="K93" s="2"/>
      <c r="L93" s="2"/>
      <c r="M93" s="2"/>
      <c r="N93" s="2"/>
    </row>
    <row r="94" customFormat="false" ht="15.75" hidden="false" customHeight="true" outlineLevel="0" collapsed="false">
      <c r="A94" s="2"/>
      <c r="B94" s="2"/>
      <c r="C94" s="2"/>
      <c r="D94" s="2"/>
      <c r="E94" s="2"/>
      <c r="F94" s="2"/>
      <c r="G94" s="2"/>
      <c r="H94" s="2"/>
      <c r="I94" s="2"/>
      <c r="J94" s="2"/>
      <c r="K94" s="2"/>
      <c r="L94" s="2"/>
      <c r="M94" s="2"/>
      <c r="N94" s="2"/>
    </row>
    <row r="95" customFormat="false" ht="15.75" hidden="false" customHeight="true" outlineLevel="0" collapsed="false">
      <c r="A95" s="2"/>
      <c r="B95" s="2"/>
      <c r="C95" s="2"/>
      <c r="D95" s="2"/>
      <c r="E95" s="2"/>
      <c r="F95" s="2"/>
      <c r="G95" s="2"/>
      <c r="H95" s="2"/>
      <c r="I95" s="2"/>
      <c r="J95" s="2"/>
      <c r="K95" s="2"/>
      <c r="L95" s="2"/>
      <c r="M95" s="2"/>
      <c r="N95" s="2"/>
    </row>
    <row r="96" customFormat="false" ht="15.75" hidden="false" customHeight="true" outlineLevel="0" collapsed="false">
      <c r="A96" s="2"/>
      <c r="B96" s="2"/>
      <c r="C96" s="2"/>
      <c r="D96" s="2"/>
      <c r="E96" s="2"/>
      <c r="F96" s="2"/>
      <c r="G96" s="2"/>
      <c r="H96" s="2"/>
      <c r="I96" s="2"/>
      <c r="J96" s="2"/>
      <c r="K96" s="2"/>
      <c r="L96" s="2"/>
      <c r="M96" s="2"/>
      <c r="N96" s="2"/>
    </row>
    <row r="97" customFormat="false" ht="15.75" hidden="false" customHeight="true" outlineLevel="0" collapsed="false">
      <c r="A97" s="2"/>
      <c r="B97" s="2"/>
      <c r="C97" s="2"/>
      <c r="D97" s="2"/>
      <c r="E97" s="2"/>
      <c r="F97" s="2"/>
      <c r="G97" s="2"/>
      <c r="H97" s="2"/>
      <c r="I97" s="2"/>
      <c r="J97" s="2"/>
      <c r="K97" s="2"/>
      <c r="L97" s="2"/>
      <c r="M97" s="2"/>
      <c r="N97" s="2"/>
    </row>
    <row r="98" customFormat="false" ht="15.75" hidden="false" customHeight="true" outlineLevel="0" collapsed="false">
      <c r="A98" s="2"/>
      <c r="B98" s="2"/>
      <c r="C98" s="2"/>
      <c r="D98" s="2"/>
      <c r="E98" s="2"/>
      <c r="F98" s="2"/>
      <c r="G98" s="2"/>
      <c r="H98" s="2"/>
      <c r="I98" s="2"/>
      <c r="J98" s="2"/>
      <c r="K98" s="2"/>
      <c r="L98" s="2"/>
      <c r="M98" s="2"/>
      <c r="N98" s="2"/>
    </row>
    <row r="99" customFormat="false" ht="15.75" hidden="false" customHeight="true" outlineLevel="0" collapsed="false">
      <c r="A99" s="2"/>
      <c r="B99" s="2"/>
      <c r="C99" s="2"/>
      <c r="D99" s="2"/>
      <c r="E99" s="2"/>
      <c r="F99" s="2"/>
      <c r="G99" s="2"/>
      <c r="H99" s="2"/>
      <c r="I99" s="2"/>
      <c r="J99" s="2"/>
      <c r="K99" s="2"/>
      <c r="L99" s="2"/>
      <c r="M99" s="2"/>
      <c r="N99" s="2"/>
    </row>
    <row r="100" customFormat="false" ht="15.75" hidden="false" customHeight="true" outlineLevel="0" collapsed="false">
      <c r="A100" s="2"/>
      <c r="B100" s="2"/>
      <c r="C100" s="2"/>
      <c r="D100" s="2"/>
      <c r="E100" s="2"/>
      <c r="F100" s="2"/>
      <c r="G100" s="2"/>
      <c r="H100" s="2"/>
      <c r="I100" s="2"/>
      <c r="J100" s="2"/>
      <c r="K100" s="2"/>
      <c r="L100" s="2"/>
      <c r="M100" s="2"/>
      <c r="N100" s="2"/>
    </row>
    <row r="101" customFormat="false" ht="15.75" hidden="false" customHeight="true" outlineLevel="0" collapsed="false">
      <c r="A101" s="2"/>
      <c r="B101" s="2"/>
      <c r="C101" s="2"/>
      <c r="D101" s="2"/>
      <c r="E101" s="2"/>
      <c r="F101" s="2"/>
      <c r="G101" s="2"/>
      <c r="H101" s="2"/>
      <c r="I101" s="2"/>
      <c r="J101" s="2"/>
      <c r="K101" s="2"/>
      <c r="L101" s="2"/>
      <c r="M101" s="2"/>
      <c r="N101" s="2"/>
    </row>
    <row r="102" customFormat="false" ht="15.75" hidden="false" customHeight="true" outlineLevel="0" collapsed="false">
      <c r="A102" s="2"/>
      <c r="B102" s="2"/>
      <c r="C102" s="2"/>
      <c r="D102" s="2"/>
      <c r="E102" s="2"/>
      <c r="F102" s="2"/>
      <c r="G102" s="2"/>
      <c r="H102" s="2"/>
      <c r="I102" s="2"/>
      <c r="J102" s="2"/>
      <c r="K102" s="2"/>
      <c r="L102" s="2"/>
      <c r="M102" s="2"/>
      <c r="N102" s="2"/>
    </row>
    <row r="103" customFormat="false" ht="15.75" hidden="false" customHeight="true" outlineLevel="0" collapsed="false">
      <c r="A103" s="2"/>
      <c r="B103" s="2"/>
      <c r="C103" s="2"/>
      <c r="D103" s="2"/>
      <c r="E103" s="2"/>
      <c r="F103" s="2"/>
      <c r="G103" s="2"/>
      <c r="H103" s="2"/>
      <c r="I103" s="2"/>
      <c r="J103" s="2"/>
      <c r="K103" s="2"/>
      <c r="L103" s="2"/>
      <c r="M103" s="2"/>
      <c r="N103" s="2"/>
    </row>
    <row r="104" customFormat="false" ht="15.75" hidden="false" customHeight="true" outlineLevel="0" collapsed="false">
      <c r="A104" s="2"/>
      <c r="B104" s="2"/>
      <c r="C104" s="2"/>
      <c r="D104" s="2"/>
      <c r="E104" s="2"/>
      <c r="F104" s="2"/>
      <c r="G104" s="2"/>
      <c r="H104" s="2"/>
      <c r="I104" s="2"/>
      <c r="J104" s="2"/>
      <c r="K104" s="2"/>
      <c r="L104" s="2"/>
      <c r="M104" s="2"/>
      <c r="N104" s="2"/>
    </row>
    <row r="105" customFormat="false" ht="15.75" hidden="false" customHeight="true" outlineLevel="0" collapsed="false">
      <c r="A105" s="2"/>
      <c r="B105" s="2"/>
      <c r="C105" s="2"/>
      <c r="D105" s="2"/>
      <c r="E105" s="2"/>
      <c r="F105" s="2"/>
      <c r="G105" s="2"/>
      <c r="H105" s="2"/>
      <c r="I105" s="2"/>
      <c r="J105" s="2"/>
      <c r="K105" s="2"/>
      <c r="L105" s="2"/>
      <c r="M105" s="2"/>
      <c r="N105" s="2"/>
    </row>
    <row r="106" customFormat="false" ht="15.75" hidden="false" customHeight="true" outlineLevel="0" collapsed="false">
      <c r="A106" s="2"/>
      <c r="B106" s="2"/>
      <c r="C106" s="2"/>
      <c r="D106" s="2"/>
      <c r="E106" s="2"/>
      <c r="F106" s="2"/>
      <c r="G106" s="2"/>
      <c r="H106" s="2"/>
      <c r="I106" s="2"/>
      <c r="J106" s="2"/>
      <c r="K106" s="2"/>
      <c r="L106" s="2"/>
      <c r="M106" s="2"/>
      <c r="N106" s="2"/>
    </row>
    <row r="107" customFormat="false" ht="15.75" hidden="false" customHeight="true" outlineLevel="0" collapsed="false">
      <c r="A107" s="2"/>
      <c r="B107" s="2"/>
      <c r="C107" s="2"/>
      <c r="D107" s="2"/>
      <c r="E107" s="2"/>
      <c r="F107" s="2"/>
      <c r="G107" s="2"/>
      <c r="H107" s="2"/>
      <c r="I107" s="2"/>
      <c r="J107" s="2"/>
      <c r="K107" s="2"/>
      <c r="L107" s="2"/>
      <c r="M107" s="2"/>
      <c r="N107" s="2"/>
    </row>
    <row r="108" customFormat="false" ht="15.75" hidden="false" customHeight="true" outlineLevel="0" collapsed="false">
      <c r="A108" s="2"/>
      <c r="B108" s="2"/>
      <c r="C108" s="2"/>
      <c r="D108" s="2"/>
      <c r="E108" s="2"/>
      <c r="F108" s="2"/>
      <c r="G108" s="2"/>
      <c r="H108" s="2"/>
      <c r="I108" s="2"/>
      <c r="J108" s="2"/>
      <c r="K108" s="2"/>
      <c r="L108" s="2"/>
      <c r="M108" s="2"/>
      <c r="N108" s="2"/>
    </row>
    <row r="109" customFormat="false" ht="15.75" hidden="false" customHeight="true" outlineLevel="0" collapsed="false">
      <c r="A109" s="2"/>
      <c r="B109" s="2"/>
      <c r="C109" s="2"/>
      <c r="D109" s="2"/>
      <c r="E109" s="2"/>
      <c r="F109" s="2"/>
      <c r="G109" s="2"/>
      <c r="H109" s="2"/>
      <c r="I109" s="2"/>
      <c r="J109" s="2"/>
      <c r="K109" s="2"/>
      <c r="L109" s="2"/>
      <c r="M109" s="2"/>
      <c r="N109" s="2"/>
    </row>
    <row r="110" customFormat="false" ht="15.75" hidden="false" customHeight="true" outlineLevel="0" collapsed="false">
      <c r="A110" s="2"/>
      <c r="B110" s="2"/>
      <c r="C110" s="2"/>
      <c r="D110" s="2"/>
      <c r="E110" s="2"/>
      <c r="F110" s="2"/>
      <c r="G110" s="2"/>
      <c r="H110" s="2"/>
      <c r="I110" s="2"/>
      <c r="J110" s="2"/>
      <c r="K110" s="2"/>
      <c r="L110" s="2"/>
      <c r="M110" s="2"/>
      <c r="N110" s="2"/>
    </row>
    <row r="111" customFormat="false" ht="15.75" hidden="false" customHeight="true" outlineLevel="0" collapsed="false">
      <c r="A111" s="2"/>
      <c r="B111" s="2"/>
      <c r="C111" s="2"/>
      <c r="D111" s="2"/>
      <c r="E111" s="2"/>
      <c r="F111" s="2"/>
      <c r="G111" s="2"/>
      <c r="H111" s="2"/>
      <c r="I111" s="2"/>
      <c r="J111" s="2"/>
      <c r="K111" s="2"/>
      <c r="L111" s="2"/>
      <c r="M111" s="2"/>
      <c r="N111" s="2"/>
    </row>
    <row r="112" customFormat="false" ht="15.75" hidden="false" customHeight="true" outlineLevel="0" collapsed="false">
      <c r="A112" s="2"/>
      <c r="B112" s="2"/>
      <c r="C112" s="2"/>
      <c r="D112" s="2"/>
      <c r="E112" s="2"/>
      <c r="F112" s="2"/>
      <c r="G112" s="2"/>
      <c r="H112" s="2"/>
      <c r="I112" s="2"/>
      <c r="J112" s="2"/>
      <c r="K112" s="2"/>
      <c r="L112" s="2"/>
      <c r="M112" s="2"/>
      <c r="N112" s="2"/>
    </row>
    <row r="113" customFormat="false" ht="15.75" hidden="false" customHeight="true" outlineLevel="0" collapsed="false">
      <c r="A113" s="2"/>
      <c r="B113" s="2"/>
      <c r="C113" s="2"/>
      <c r="D113" s="2"/>
      <c r="E113" s="2"/>
      <c r="F113" s="2"/>
      <c r="G113" s="2"/>
      <c r="H113" s="2"/>
      <c r="I113" s="2"/>
      <c r="J113" s="2"/>
      <c r="K113" s="2"/>
      <c r="L113" s="2"/>
      <c r="M113" s="2"/>
      <c r="N113" s="2"/>
    </row>
    <row r="114" customFormat="false" ht="15.75" hidden="false" customHeight="true" outlineLevel="0" collapsed="false">
      <c r="A114" s="2"/>
      <c r="B114" s="2"/>
      <c r="C114" s="2"/>
      <c r="D114" s="2"/>
      <c r="E114" s="2"/>
      <c r="F114" s="2"/>
      <c r="G114" s="2"/>
      <c r="H114" s="2"/>
      <c r="I114" s="2"/>
      <c r="J114" s="2"/>
      <c r="K114" s="2"/>
      <c r="L114" s="2"/>
      <c r="M114" s="2"/>
      <c r="N114" s="2"/>
    </row>
    <row r="115" customFormat="false" ht="15.75" hidden="false" customHeight="true" outlineLevel="0" collapsed="false">
      <c r="A115" s="2"/>
      <c r="B115" s="2"/>
      <c r="C115" s="2"/>
      <c r="D115" s="2"/>
      <c r="E115" s="2"/>
      <c r="F115" s="2"/>
      <c r="G115" s="2"/>
      <c r="H115" s="2"/>
      <c r="I115" s="2"/>
      <c r="J115" s="2"/>
      <c r="K115" s="2"/>
      <c r="L115" s="2"/>
      <c r="M115" s="2"/>
      <c r="N115" s="2"/>
    </row>
    <row r="116" customFormat="false" ht="15.75" hidden="false" customHeight="true" outlineLevel="0" collapsed="false">
      <c r="A116" s="2"/>
      <c r="B116" s="2"/>
      <c r="C116" s="2"/>
      <c r="D116" s="2"/>
      <c r="E116" s="2"/>
      <c r="F116" s="2"/>
      <c r="G116" s="2"/>
      <c r="H116" s="2"/>
      <c r="I116" s="2"/>
      <c r="J116" s="2"/>
      <c r="K116" s="2"/>
      <c r="L116" s="2"/>
      <c r="M116" s="2"/>
      <c r="N116" s="2"/>
    </row>
    <row r="117" customFormat="false" ht="15.75" hidden="false" customHeight="true" outlineLevel="0" collapsed="false">
      <c r="A117" s="2"/>
      <c r="B117" s="2"/>
      <c r="C117" s="2"/>
      <c r="D117" s="2"/>
      <c r="E117" s="2"/>
      <c r="F117" s="2"/>
      <c r="G117" s="2"/>
      <c r="H117" s="2"/>
      <c r="I117" s="2"/>
      <c r="J117" s="2"/>
      <c r="K117" s="2"/>
      <c r="L117" s="2"/>
      <c r="M117" s="2"/>
      <c r="N117" s="2"/>
    </row>
    <row r="118" customFormat="false" ht="15.75" hidden="false" customHeight="true" outlineLevel="0" collapsed="false">
      <c r="A118" s="2"/>
      <c r="B118" s="2"/>
      <c r="C118" s="2"/>
      <c r="D118" s="2"/>
      <c r="E118" s="2"/>
      <c r="F118" s="2"/>
      <c r="G118" s="2"/>
      <c r="H118" s="2"/>
      <c r="I118" s="2"/>
      <c r="J118" s="2"/>
      <c r="K118" s="2"/>
      <c r="L118" s="2"/>
      <c r="M118" s="2"/>
      <c r="N118" s="2"/>
    </row>
    <row r="119" customFormat="false" ht="15.75" hidden="false" customHeight="true" outlineLevel="0" collapsed="false">
      <c r="A119" s="2"/>
      <c r="B119" s="2"/>
      <c r="C119" s="2"/>
      <c r="D119" s="2"/>
      <c r="E119" s="2"/>
      <c r="F119" s="2"/>
      <c r="G119" s="2"/>
      <c r="H119" s="2"/>
      <c r="I119" s="2"/>
      <c r="J119" s="2"/>
      <c r="K119" s="2"/>
      <c r="L119" s="2"/>
      <c r="M119" s="2"/>
      <c r="N119" s="2"/>
    </row>
    <row r="120" customFormat="false" ht="15.75" hidden="false" customHeight="true" outlineLevel="0" collapsed="false">
      <c r="A120" s="2"/>
      <c r="B120" s="2"/>
      <c r="C120" s="2"/>
      <c r="D120" s="2"/>
      <c r="E120" s="2"/>
      <c r="F120" s="2"/>
      <c r="G120" s="2"/>
      <c r="H120" s="2"/>
      <c r="I120" s="2"/>
      <c r="J120" s="2"/>
      <c r="K120" s="2"/>
      <c r="L120" s="2"/>
      <c r="M120" s="2"/>
      <c r="N120" s="2"/>
    </row>
    <row r="121" customFormat="false" ht="15.75" hidden="false" customHeight="true" outlineLevel="0" collapsed="false">
      <c r="A121" s="2"/>
      <c r="B121" s="2"/>
      <c r="C121" s="2"/>
      <c r="D121" s="2"/>
      <c r="E121" s="2"/>
      <c r="F121" s="2"/>
      <c r="G121" s="2"/>
      <c r="H121" s="2"/>
      <c r="I121" s="2"/>
      <c r="J121" s="2"/>
      <c r="K121" s="2"/>
      <c r="L121" s="2"/>
      <c r="M121" s="2"/>
      <c r="N121" s="2"/>
    </row>
    <row r="122" customFormat="false" ht="15.75" hidden="false" customHeight="true" outlineLevel="0" collapsed="false">
      <c r="A122" s="2"/>
      <c r="B122" s="2"/>
      <c r="C122" s="2"/>
      <c r="D122" s="2"/>
      <c r="E122" s="2"/>
      <c r="F122" s="2"/>
      <c r="G122" s="2"/>
      <c r="H122" s="2"/>
      <c r="I122" s="2"/>
      <c r="J122" s="2"/>
      <c r="K122" s="2"/>
      <c r="L122" s="2"/>
      <c r="M122" s="2"/>
      <c r="N122" s="2"/>
    </row>
    <row r="123" customFormat="false" ht="15.75" hidden="false" customHeight="true" outlineLevel="0" collapsed="false">
      <c r="A123" s="2"/>
      <c r="B123" s="2"/>
      <c r="C123" s="2"/>
      <c r="D123" s="2"/>
      <c r="E123" s="2"/>
      <c r="F123" s="2"/>
      <c r="G123" s="2"/>
      <c r="H123" s="2"/>
      <c r="I123" s="2"/>
      <c r="J123" s="2"/>
      <c r="K123" s="2"/>
      <c r="L123" s="2"/>
      <c r="M123" s="2"/>
      <c r="N123" s="2"/>
    </row>
    <row r="124" customFormat="false" ht="15.75" hidden="false" customHeight="true" outlineLevel="0" collapsed="false">
      <c r="A124" s="2"/>
      <c r="B124" s="2"/>
      <c r="C124" s="2"/>
      <c r="D124" s="2"/>
      <c r="E124" s="2"/>
      <c r="F124" s="2"/>
      <c r="G124" s="2"/>
      <c r="H124" s="2"/>
      <c r="I124" s="2"/>
      <c r="J124" s="2"/>
      <c r="K124" s="2"/>
      <c r="L124" s="2"/>
      <c r="M124" s="2"/>
      <c r="N124" s="2"/>
    </row>
    <row r="125" customFormat="false" ht="15.75" hidden="false" customHeight="true" outlineLevel="0" collapsed="false">
      <c r="A125" s="2"/>
      <c r="B125" s="2"/>
      <c r="C125" s="2"/>
      <c r="D125" s="2"/>
      <c r="E125" s="2"/>
      <c r="F125" s="2"/>
      <c r="G125" s="2"/>
      <c r="H125" s="2"/>
      <c r="I125" s="2"/>
      <c r="J125" s="2"/>
      <c r="K125" s="2"/>
      <c r="L125" s="2"/>
      <c r="M125" s="2"/>
      <c r="N125" s="2"/>
    </row>
    <row r="126" customFormat="false" ht="15.75" hidden="false" customHeight="true" outlineLevel="0" collapsed="false">
      <c r="A126" s="2"/>
      <c r="B126" s="2"/>
      <c r="C126" s="2"/>
      <c r="D126" s="2"/>
      <c r="E126" s="2"/>
      <c r="F126" s="2"/>
      <c r="G126" s="2"/>
      <c r="H126" s="2"/>
      <c r="I126" s="2"/>
      <c r="J126" s="2"/>
      <c r="K126" s="2"/>
      <c r="L126" s="2"/>
      <c r="M126" s="2"/>
      <c r="N126" s="2"/>
    </row>
    <row r="127" customFormat="false" ht="15.75" hidden="false" customHeight="true" outlineLevel="0" collapsed="false">
      <c r="A127" s="2"/>
      <c r="B127" s="2"/>
      <c r="C127" s="2"/>
      <c r="D127" s="2"/>
      <c r="E127" s="2"/>
      <c r="F127" s="2"/>
      <c r="G127" s="2"/>
      <c r="H127" s="2"/>
      <c r="I127" s="2"/>
      <c r="J127" s="2"/>
      <c r="K127" s="2"/>
      <c r="L127" s="2"/>
      <c r="M127" s="2"/>
      <c r="N127" s="2"/>
    </row>
    <row r="128" customFormat="false" ht="15.75" hidden="false" customHeight="true" outlineLevel="0" collapsed="false">
      <c r="A128" s="2"/>
      <c r="B128" s="2"/>
      <c r="C128" s="2"/>
      <c r="D128" s="2"/>
      <c r="E128" s="2"/>
      <c r="F128" s="2"/>
      <c r="G128" s="2"/>
      <c r="H128" s="2"/>
      <c r="I128" s="2"/>
      <c r="J128" s="2"/>
      <c r="K128" s="2"/>
      <c r="L128" s="2"/>
      <c r="M128" s="2"/>
      <c r="N128" s="2"/>
    </row>
    <row r="129" customFormat="false" ht="15.75" hidden="false" customHeight="true" outlineLevel="0" collapsed="false">
      <c r="A129" s="2"/>
      <c r="B129" s="2"/>
      <c r="C129" s="2"/>
      <c r="D129" s="2"/>
      <c r="E129" s="2"/>
      <c r="F129" s="2"/>
      <c r="G129" s="2"/>
      <c r="H129" s="2"/>
      <c r="I129" s="2"/>
      <c r="J129" s="2"/>
      <c r="K129" s="2"/>
      <c r="L129" s="2"/>
      <c r="M129" s="2"/>
      <c r="N129" s="2"/>
    </row>
    <row r="130" customFormat="false" ht="15.75" hidden="false" customHeight="true" outlineLevel="0" collapsed="false">
      <c r="A130" s="2"/>
      <c r="B130" s="2"/>
      <c r="C130" s="2"/>
      <c r="D130" s="2"/>
      <c r="E130" s="2"/>
      <c r="F130" s="2"/>
      <c r="G130" s="2"/>
      <c r="H130" s="2"/>
      <c r="I130" s="2"/>
      <c r="J130" s="2"/>
      <c r="K130" s="2"/>
      <c r="L130" s="2"/>
      <c r="M130" s="2"/>
      <c r="N130" s="2"/>
    </row>
    <row r="131" customFormat="false" ht="15.75" hidden="false" customHeight="true" outlineLevel="0" collapsed="false">
      <c r="A131" s="2"/>
      <c r="B131" s="2"/>
      <c r="C131" s="2"/>
      <c r="D131" s="2"/>
      <c r="E131" s="2"/>
      <c r="F131" s="2"/>
      <c r="G131" s="2"/>
      <c r="H131" s="2"/>
      <c r="I131" s="2"/>
      <c r="J131" s="2"/>
      <c r="K131" s="2"/>
      <c r="L131" s="2"/>
      <c r="M131" s="2"/>
      <c r="N131" s="2"/>
    </row>
    <row r="132" customFormat="false" ht="15.75" hidden="false" customHeight="true" outlineLevel="0" collapsed="false">
      <c r="A132" s="2"/>
      <c r="B132" s="2"/>
      <c r="C132" s="2"/>
      <c r="D132" s="2"/>
      <c r="E132" s="2"/>
      <c r="F132" s="2"/>
      <c r="G132" s="2"/>
      <c r="H132" s="2"/>
      <c r="I132" s="2"/>
      <c r="J132" s="2"/>
      <c r="K132" s="2"/>
      <c r="L132" s="2"/>
      <c r="M132" s="2"/>
      <c r="N132" s="2"/>
    </row>
    <row r="133" customFormat="false" ht="15.75" hidden="false" customHeight="true" outlineLevel="0" collapsed="false">
      <c r="A133" s="2"/>
      <c r="B133" s="2"/>
      <c r="C133" s="2"/>
      <c r="D133" s="2"/>
      <c r="E133" s="2"/>
      <c r="F133" s="2"/>
      <c r="G133" s="2"/>
      <c r="H133" s="2"/>
      <c r="I133" s="2"/>
      <c r="J133" s="2"/>
      <c r="K133" s="2"/>
      <c r="L133" s="2"/>
      <c r="M133" s="2"/>
      <c r="N133" s="2"/>
    </row>
    <row r="134" customFormat="false" ht="15.75" hidden="false" customHeight="true" outlineLevel="0" collapsed="false">
      <c r="A134" s="2"/>
      <c r="B134" s="2"/>
      <c r="C134" s="2"/>
      <c r="D134" s="2"/>
      <c r="E134" s="2"/>
      <c r="F134" s="2"/>
      <c r="G134" s="2"/>
      <c r="H134" s="2"/>
      <c r="I134" s="2"/>
      <c r="J134" s="2"/>
      <c r="K134" s="2"/>
      <c r="L134" s="2"/>
      <c r="M134" s="2"/>
      <c r="N134" s="2"/>
    </row>
    <row r="135" customFormat="false" ht="15.75" hidden="false" customHeight="true" outlineLevel="0" collapsed="false">
      <c r="A135" s="2"/>
      <c r="B135" s="2"/>
      <c r="C135" s="2"/>
      <c r="D135" s="2"/>
      <c r="E135" s="2"/>
      <c r="F135" s="2"/>
      <c r="G135" s="2"/>
      <c r="H135" s="2"/>
      <c r="I135" s="2"/>
      <c r="J135" s="2"/>
      <c r="K135" s="2"/>
      <c r="L135" s="2"/>
      <c r="M135" s="2"/>
      <c r="N135" s="2"/>
    </row>
    <row r="136" customFormat="false" ht="15.75" hidden="false" customHeight="true" outlineLevel="0" collapsed="false">
      <c r="A136" s="2"/>
      <c r="B136" s="2"/>
      <c r="C136" s="2"/>
      <c r="D136" s="2"/>
      <c r="E136" s="2"/>
      <c r="F136" s="2"/>
      <c r="G136" s="2"/>
      <c r="H136" s="2"/>
      <c r="I136" s="2"/>
      <c r="J136" s="2"/>
      <c r="K136" s="2"/>
      <c r="L136" s="2"/>
      <c r="M136" s="2"/>
      <c r="N136" s="2"/>
    </row>
    <row r="137" customFormat="false" ht="15.75" hidden="false" customHeight="true" outlineLevel="0" collapsed="false">
      <c r="A137" s="2"/>
      <c r="B137" s="2"/>
      <c r="C137" s="2"/>
      <c r="D137" s="2"/>
      <c r="E137" s="2"/>
      <c r="F137" s="2"/>
      <c r="G137" s="2"/>
      <c r="H137" s="2"/>
      <c r="I137" s="2"/>
      <c r="J137" s="2"/>
      <c r="K137" s="2"/>
      <c r="L137" s="2"/>
      <c r="M137" s="2"/>
      <c r="N137" s="2"/>
    </row>
    <row r="138" customFormat="false" ht="15.75" hidden="false" customHeight="true" outlineLevel="0" collapsed="false">
      <c r="A138" s="2"/>
      <c r="B138" s="2"/>
      <c r="C138" s="2"/>
      <c r="D138" s="2"/>
      <c r="E138" s="2"/>
      <c r="F138" s="2"/>
      <c r="G138" s="2"/>
      <c r="H138" s="2"/>
      <c r="I138" s="2"/>
      <c r="J138" s="2"/>
      <c r="K138" s="2"/>
      <c r="L138" s="2"/>
      <c r="M138" s="2"/>
      <c r="N138" s="2"/>
    </row>
    <row r="139" customFormat="false" ht="15.75" hidden="false" customHeight="true" outlineLevel="0" collapsed="false">
      <c r="A139" s="2"/>
      <c r="B139" s="2"/>
      <c r="C139" s="2"/>
      <c r="D139" s="2"/>
      <c r="E139" s="2"/>
      <c r="F139" s="2"/>
      <c r="G139" s="2"/>
      <c r="H139" s="2"/>
      <c r="I139" s="2"/>
      <c r="J139" s="2"/>
      <c r="K139" s="2"/>
      <c r="L139" s="2"/>
      <c r="M139" s="2"/>
      <c r="N139" s="2"/>
    </row>
    <row r="140" customFormat="false" ht="15.75" hidden="false" customHeight="true" outlineLevel="0" collapsed="false">
      <c r="A140" s="2"/>
      <c r="B140" s="2"/>
      <c r="C140" s="2"/>
      <c r="D140" s="2"/>
      <c r="E140" s="2"/>
      <c r="F140" s="2"/>
      <c r="G140" s="2"/>
      <c r="H140" s="2"/>
      <c r="I140" s="2"/>
      <c r="J140" s="2"/>
      <c r="K140" s="2"/>
      <c r="L140" s="2"/>
      <c r="M140" s="2"/>
      <c r="N140" s="2"/>
    </row>
    <row r="141" customFormat="false" ht="15.75" hidden="false" customHeight="true" outlineLevel="0" collapsed="false">
      <c r="A141" s="2"/>
      <c r="B141" s="2"/>
      <c r="C141" s="2"/>
      <c r="D141" s="2"/>
      <c r="E141" s="2"/>
      <c r="F141" s="2"/>
      <c r="G141" s="2"/>
      <c r="H141" s="2"/>
      <c r="I141" s="2"/>
      <c r="J141" s="2"/>
      <c r="K141" s="2"/>
      <c r="L141" s="2"/>
      <c r="M141" s="2"/>
      <c r="N141" s="2"/>
    </row>
    <row r="142" customFormat="false" ht="15.75" hidden="false" customHeight="true" outlineLevel="0" collapsed="false">
      <c r="A142" s="2"/>
      <c r="B142" s="2"/>
      <c r="C142" s="2"/>
      <c r="D142" s="2"/>
      <c r="E142" s="2"/>
      <c r="F142" s="2"/>
      <c r="G142" s="2"/>
      <c r="H142" s="2"/>
      <c r="I142" s="2"/>
      <c r="J142" s="2"/>
      <c r="K142" s="2"/>
      <c r="L142" s="2"/>
      <c r="M142" s="2"/>
      <c r="N142" s="2"/>
    </row>
    <row r="143" customFormat="false" ht="15.75" hidden="false" customHeight="true" outlineLevel="0" collapsed="false">
      <c r="A143" s="2"/>
      <c r="B143" s="2"/>
      <c r="C143" s="2"/>
      <c r="D143" s="2"/>
      <c r="E143" s="2"/>
      <c r="F143" s="2"/>
      <c r="G143" s="2"/>
      <c r="H143" s="2"/>
      <c r="I143" s="2"/>
      <c r="J143" s="2"/>
      <c r="K143" s="2"/>
      <c r="L143" s="2"/>
      <c r="M143" s="2"/>
      <c r="N143" s="2"/>
    </row>
    <row r="144" customFormat="false" ht="15.75" hidden="false" customHeight="true" outlineLevel="0" collapsed="false">
      <c r="A144" s="2"/>
      <c r="B144" s="2"/>
      <c r="C144" s="2"/>
      <c r="D144" s="2"/>
      <c r="E144" s="2"/>
      <c r="F144" s="2"/>
      <c r="G144" s="2"/>
      <c r="H144" s="2"/>
      <c r="I144" s="2"/>
      <c r="J144" s="2"/>
      <c r="K144" s="2"/>
      <c r="L144" s="2"/>
      <c r="M144" s="2"/>
      <c r="N144" s="2"/>
    </row>
    <row r="145" customFormat="false" ht="15.75" hidden="false" customHeight="true" outlineLevel="0" collapsed="false">
      <c r="A145" s="2"/>
      <c r="B145" s="2"/>
      <c r="C145" s="2"/>
      <c r="D145" s="2"/>
      <c r="E145" s="2"/>
      <c r="F145" s="2"/>
      <c r="G145" s="2"/>
      <c r="H145" s="2"/>
      <c r="I145" s="2"/>
      <c r="J145" s="2"/>
      <c r="K145" s="2"/>
      <c r="L145" s="2"/>
      <c r="M145" s="2"/>
      <c r="N145" s="2"/>
    </row>
    <row r="146" customFormat="false" ht="15.75" hidden="false" customHeight="true" outlineLevel="0" collapsed="false">
      <c r="A146" s="2"/>
      <c r="B146" s="2"/>
      <c r="C146" s="2"/>
      <c r="D146" s="2"/>
      <c r="E146" s="2"/>
      <c r="F146" s="2"/>
      <c r="G146" s="2"/>
      <c r="H146" s="2"/>
      <c r="I146" s="2"/>
      <c r="J146" s="2"/>
      <c r="K146" s="2"/>
      <c r="L146" s="2"/>
      <c r="M146" s="2"/>
      <c r="N146" s="2"/>
    </row>
    <row r="147" customFormat="false" ht="15.75" hidden="false" customHeight="true" outlineLevel="0" collapsed="false">
      <c r="A147" s="2"/>
      <c r="B147" s="2"/>
      <c r="C147" s="2"/>
      <c r="D147" s="2"/>
      <c r="E147" s="2"/>
      <c r="F147" s="2"/>
      <c r="G147" s="2"/>
      <c r="H147" s="2"/>
      <c r="I147" s="2"/>
      <c r="J147" s="2"/>
      <c r="K147" s="2"/>
      <c r="L147" s="2"/>
      <c r="M147" s="2"/>
      <c r="N147" s="2"/>
    </row>
    <row r="148" customFormat="false" ht="15.75" hidden="false" customHeight="true" outlineLevel="0" collapsed="false">
      <c r="A148" s="2"/>
      <c r="B148" s="2"/>
      <c r="C148" s="2"/>
      <c r="D148" s="2"/>
      <c r="E148" s="2"/>
      <c r="F148" s="2"/>
      <c r="G148" s="2"/>
      <c r="H148" s="2"/>
      <c r="I148" s="2"/>
      <c r="J148" s="2"/>
      <c r="K148" s="2"/>
      <c r="L148" s="2"/>
      <c r="M148" s="2"/>
      <c r="N148" s="2"/>
    </row>
    <row r="149" customFormat="false" ht="15.75" hidden="false" customHeight="true" outlineLevel="0" collapsed="false">
      <c r="A149" s="2"/>
      <c r="B149" s="2"/>
      <c r="C149" s="2"/>
      <c r="D149" s="2"/>
      <c r="E149" s="2"/>
      <c r="F149" s="2"/>
      <c r="G149" s="2"/>
      <c r="H149" s="2"/>
      <c r="I149" s="2"/>
      <c r="J149" s="2"/>
      <c r="K149" s="2"/>
      <c r="L149" s="2"/>
      <c r="M149" s="2"/>
      <c r="N149" s="2"/>
    </row>
    <row r="150" customFormat="false" ht="15.75" hidden="false" customHeight="true" outlineLevel="0" collapsed="false">
      <c r="A150" s="2"/>
      <c r="B150" s="2"/>
      <c r="C150" s="2"/>
      <c r="D150" s="2"/>
      <c r="E150" s="2"/>
      <c r="F150" s="2"/>
      <c r="G150" s="2"/>
      <c r="H150" s="2"/>
      <c r="I150" s="2"/>
      <c r="J150" s="2"/>
      <c r="K150" s="2"/>
      <c r="L150" s="2"/>
      <c r="M150" s="2"/>
      <c r="N150" s="2"/>
    </row>
    <row r="151" customFormat="false" ht="15.75" hidden="false" customHeight="true" outlineLevel="0" collapsed="false">
      <c r="A151" s="2"/>
      <c r="B151" s="2"/>
      <c r="C151" s="2"/>
      <c r="D151" s="2"/>
      <c r="E151" s="2"/>
      <c r="F151" s="2"/>
      <c r="G151" s="2"/>
      <c r="H151" s="2"/>
      <c r="I151" s="2"/>
      <c r="J151" s="2"/>
      <c r="K151" s="2"/>
      <c r="L151" s="2"/>
      <c r="M151" s="2"/>
      <c r="N151" s="2"/>
    </row>
    <row r="152" customFormat="false" ht="15.75" hidden="false" customHeight="true" outlineLevel="0" collapsed="false">
      <c r="A152" s="2"/>
      <c r="B152" s="2"/>
      <c r="C152" s="2"/>
      <c r="D152" s="2"/>
      <c r="E152" s="2"/>
      <c r="F152" s="2"/>
      <c r="G152" s="2"/>
      <c r="H152" s="2"/>
      <c r="I152" s="2"/>
      <c r="J152" s="2"/>
      <c r="K152" s="2"/>
      <c r="L152" s="2"/>
      <c r="M152" s="2"/>
      <c r="N152" s="2"/>
    </row>
    <row r="153" customFormat="false" ht="15.75" hidden="false" customHeight="true" outlineLevel="0" collapsed="false">
      <c r="A153" s="2"/>
      <c r="B153" s="2"/>
      <c r="C153" s="2"/>
      <c r="D153" s="2"/>
      <c r="E153" s="2"/>
      <c r="F153" s="2"/>
      <c r="G153" s="2"/>
      <c r="H153" s="2"/>
      <c r="I153" s="2"/>
      <c r="J153" s="2"/>
      <c r="K153" s="2"/>
      <c r="L153" s="2"/>
      <c r="M153" s="2"/>
      <c r="N153" s="2"/>
    </row>
    <row r="154" customFormat="false" ht="15.75" hidden="false" customHeight="true" outlineLevel="0" collapsed="false">
      <c r="A154" s="2"/>
      <c r="B154" s="2"/>
      <c r="C154" s="2"/>
      <c r="D154" s="2"/>
      <c r="E154" s="2"/>
      <c r="F154" s="2"/>
      <c r="G154" s="2"/>
      <c r="H154" s="2"/>
      <c r="I154" s="2"/>
      <c r="J154" s="2"/>
      <c r="K154" s="2"/>
      <c r="L154" s="2"/>
      <c r="M154" s="2"/>
      <c r="N154" s="2"/>
    </row>
    <row r="155" customFormat="false" ht="15.75" hidden="false" customHeight="true" outlineLevel="0" collapsed="false">
      <c r="A155" s="2"/>
      <c r="B155" s="2"/>
      <c r="C155" s="2"/>
      <c r="D155" s="2"/>
      <c r="E155" s="2"/>
      <c r="F155" s="2"/>
      <c r="G155" s="2"/>
      <c r="H155" s="2"/>
      <c r="I155" s="2"/>
      <c r="J155" s="2"/>
      <c r="K155" s="2"/>
      <c r="L155" s="2"/>
      <c r="M155" s="2"/>
      <c r="N155" s="2"/>
    </row>
    <row r="156" customFormat="false" ht="15.75" hidden="false" customHeight="true" outlineLevel="0" collapsed="false">
      <c r="A156" s="2"/>
      <c r="B156" s="2"/>
      <c r="C156" s="2"/>
      <c r="D156" s="2"/>
      <c r="E156" s="2"/>
      <c r="F156" s="2"/>
      <c r="G156" s="2"/>
      <c r="H156" s="2"/>
      <c r="I156" s="2"/>
      <c r="J156" s="2"/>
      <c r="K156" s="2"/>
      <c r="L156" s="2"/>
      <c r="M156" s="2"/>
      <c r="N156" s="2"/>
    </row>
    <row r="157" customFormat="false" ht="15.75" hidden="false" customHeight="true" outlineLevel="0" collapsed="false">
      <c r="A157" s="2"/>
      <c r="B157" s="2"/>
      <c r="C157" s="2"/>
      <c r="D157" s="2"/>
      <c r="E157" s="2"/>
      <c r="F157" s="2"/>
      <c r="G157" s="2"/>
      <c r="H157" s="2"/>
      <c r="I157" s="2"/>
      <c r="J157" s="2"/>
      <c r="K157" s="2"/>
      <c r="L157" s="2"/>
      <c r="M157" s="2"/>
      <c r="N157" s="2"/>
    </row>
    <row r="158" customFormat="false" ht="15.75" hidden="false" customHeight="true" outlineLevel="0" collapsed="false">
      <c r="A158" s="2"/>
      <c r="B158" s="2"/>
      <c r="C158" s="2"/>
      <c r="D158" s="2"/>
      <c r="E158" s="2"/>
      <c r="F158" s="2"/>
      <c r="G158" s="2"/>
      <c r="H158" s="2"/>
      <c r="I158" s="2"/>
      <c r="J158" s="2"/>
      <c r="K158" s="2"/>
      <c r="L158" s="2"/>
      <c r="M158" s="2"/>
      <c r="N158" s="2"/>
    </row>
    <row r="159" customFormat="false" ht="15.75" hidden="false" customHeight="true" outlineLevel="0" collapsed="false">
      <c r="A159" s="2"/>
      <c r="B159" s="2"/>
      <c r="C159" s="2"/>
      <c r="D159" s="2"/>
      <c r="E159" s="2"/>
      <c r="F159" s="2"/>
      <c r="G159" s="2"/>
      <c r="H159" s="2"/>
      <c r="I159" s="2"/>
      <c r="J159" s="2"/>
      <c r="K159" s="2"/>
      <c r="L159" s="2"/>
      <c r="M159" s="2"/>
      <c r="N159" s="2"/>
    </row>
    <row r="160" customFormat="false" ht="15.75" hidden="false" customHeight="true" outlineLevel="0" collapsed="false">
      <c r="A160" s="2"/>
      <c r="B160" s="2"/>
      <c r="C160" s="2"/>
      <c r="D160" s="2"/>
      <c r="E160" s="2"/>
      <c r="F160" s="2"/>
      <c r="G160" s="2"/>
      <c r="H160" s="2"/>
      <c r="I160" s="2"/>
      <c r="J160" s="2"/>
      <c r="K160" s="2"/>
      <c r="L160" s="2"/>
      <c r="M160" s="2"/>
      <c r="N160" s="2"/>
    </row>
    <row r="161" customFormat="false" ht="15.75" hidden="false" customHeight="true" outlineLevel="0" collapsed="false">
      <c r="A161" s="2"/>
      <c r="B161" s="2"/>
      <c r="C161" s="2"/>
      <c r="D161" s="2"/>
      <c r="E161" s="2"/>
      <c r="F161" s="2"/>
      <c r="G161" s="2"/>
      <c r="H161" s="2"/>
      <c r="I161" s="2"/>
      <c r="J161" s="2"/>
      <c r="K161" s="2"/>
      <c r="L161" s="2"/>
      <c r="M161" s="2"/>
      <c r="N161" s="2"/>
    </row>
    <row r="162" customFormat="false" ht="15.75" hidden="false" customHeight="true" outlineLevel="0" collapsed="false">
      <c r="A162" s="2"/>
      <c r="B162" s="2"/>
      <c r="C162" s="2"/>
      <c r="D162" s="2"/>
      <c r="E162" s="2"/>
      <c r="F162" s="2"/>
      <c r="G162" s="2"/>
      <c r="H162" s="2"/>
      <c r="I162" s="2"/>
      <c r="J162" s="2"/>
      <c r="K162" s="2"/>
      <c r="L162" s="2"/>
      <c r="M162" s="2"/>
      <c r="N162" s="2"/>
    </row>
    <row r="163" customFormat="false" ht="15.75" hidden="false" customHeight="true" outlineLevel="0" collapsed="false">
      <c r="A163" s="2"/>
      <c r="B163" s="2"/>
      <c r="C163" s="2"/>
      <c r="D163" s="2"/>
      <c r="E163" s="2"/>
      <c r="F163" s="2"/>
      <c r="G163" s="2"/>
      <c r="H163" s="2"/>
      <c r="I163" s="2"/>
      <c r="J163" s="2"/>
      <c r="K163" s="2"/>
      <c r="L163" s="2"/>
      <c r="M163" s="2"/>
      <c r="N163" s="2"/>
    </row>
    <row r="164" customFormat="false" ht="15.75" hidden="false" customHeight="true" outlineLevel="0" collapsed="false">
      <c r="A164" s="2"/>
      <c r="B164" s="2"/>
      <c r="C164" s="2"/>
      <c r="D164" s="2"/>
      <c r="E164" s="2"/>
      <c r="F164" s="2"/>
      <c r="G164" s="2"/>
      <c r="H164" s="2"/>
      <c r="I164" s="2"/>
      <c r="J164" s="2"/>
      <c r="K164" s="2"/>
      <c r="L164" s="2"/>
      <c r="M164" s="2"/>
      <c r="N164" s="2"/>
    </row>
    <row r="165" customFormat="false" ht="15.75" hidden="false" customHeight="true" outlineLevel="0" collapsed="false">
      <c r="A165" s="2"/>
      <c r="B165" s="2"/>
      <c r="C165" s="2"/>
      <c r="D165" s="2"/>
      <c r="E165" s="2"/>
      <c r="F165" s="2"/>
      <c r="G165" s="2"/>
      <c r="H165" s="2"/>
      <c r="I165" s="2"/>
      <c r="J165" s="2"/>
      <c r="K165" s="2"/>
      <c r="L165" s="2"/>
      <c r="M165" s="2"/>
      <c r="N165" s="2"/>
    </row>
    <row r="166" customFormat="false" ht="15.75" hidden="false" customHeight="true" outlineLevel="0" collapsed="false">
      <c r="A166" s="2"/>
      <c r="B166" s="2"/>
      <c r="C166" s="2"/>
      <c r="D166" s="2"/>
      <c r="E166" s="2"/>
      <c r="F166" s="2"/>
      <c r="G166" s="2"/>
      <c r="H166" s="2"/>
      <c r="I166" s="2"/>
      <c r="J166" s="2"/>
      <c r="K166" s="2"/>
      <c r="L166" s="2"/>
      <c r="M166" s="2"/>
      <c r="N166" s="2"/>
    </row>
    <row r="167" customFormat="false" ht="15.75" hidden="false" customHeight="true" outlineLevel="0" collapsed="false">
      <c r="A167" s="2"/>
      <c r="B167" s="2"/>
      <c r="C167" s="2"/>
      <c r="D167" s="2"/>
      <c r="E167" s="2"/>
      <c r="F167" s="2"/>
      <c r="G167" s="2"/>
      <c r="H167" s="2"/>
      <c r="I167" s="2"/>
      <c r="J167" s="2"/>
      <c r="K167" s="2"/>
      <c r="L167" s="2"/>
      <c r="M167" s="2"/>
      <c r="N167" s="2"/>
    </row>
    <row r="168" customFormat="false" ht="15.75" hidden="false" customHeight="true" outlineLevel="0" collapsed="false">
      <c r="A168" s="2"/>
      <c r="B168" s="2"/>
      <c r="C168" s="2"/>
      <c r="D168" s="2"/>
      <c r="E168" s="2"/>
      <c r="F168" s="2"/>
      <c r="G168" s="2"/>
      <c r="H168" s="2"/>
      <c r="I168" s="2"/>
      <c r="J168" s="2"/>
      <c r="K168" s="2"/>
      <c r="L168" s="2"/>
      <c r="M168" s="2"/>
      <c r="N168" s="2"/>
    </row>
    <row r="169" customFormat="false" ht="15.75" hidden="false" customHeight="true" outlineLevel="0" collapsed="false">
      <c r="A169" s="2"/>
      <c r="B169" s="2"/>
      <c r="C169" s="2"/>
      <c r="D169" s="2"/>
      <c r="E169" s="2"/>
      <c r="F169" s="2"/>
      <c r="G169" s="2"/>
      <c r="H169" s="2"/>
      <c r="I169" s="2"/>
      <c r="J169" s="2"/>
      <c r="K169" s="2"/>
      <c r="L169" s="2"/>
      <c r="M169" s="2"/>
      <c r="N169" s="2"/>
    </row>
    <row r="170" customFormat="false" ht="15.75" hidden="false" customHeight="true" outlineLevel="0" collapsed="false">
      <c r="A170" s="2"/>
      <c r="B170" s="2"/>
      <c r="C170" s="2"/>
      <c r="D170" s="2"/>
      <c r="E170" s="2"/>
      <c r="F170" s="2"/>
      <c r="G170" s="2"/>
      <c r="H170" s="2"/>
      <c r="I170" s="2"/>
      <c r="J170" s="2"/>
      <c r="K170" s="2"/>
      <c r="L170" s="2"/>
      <c r="M170" s="2"/>
      <c r="N170" s="2"/>
    </row>
    <row r="171" customFormat="false" ht="15.75" hidden="false" customHeight="true" outlineLevel="0" collapsed="false">
      <c r="A171" s="2"/>
      <c r="B171" s="2"/>
      <c r="C171" s="2"/>
      <c r="D171" s="2"/>
      <c r="E171" s="2"/>
      <c r="F171" s="2"/>
      <c r="G171" s="2"/>
      <c r="H171" s="2"/>
      <c r="I171" s="2"/>
      <c r="J171" s="2"/>
      <c r="K171" s="2"/>
      <c r="L171" s="2"/>
      <c r="M171" s="2"/>
      <c r="N171" s="2"/>
    </row>
    <row r="172" customFormat="false" ht="15.75" hidden="false" customHeight="true" outlineLevel="0" collapsed="false">
      <c r="A172" s="2"/>
      <c r="B172" s="2"/>
      <c r="C172" s="2"/>
      <c r="D172" s="2"/>
      <c r="E172" s="2"/>
      <c r="F172" s="2"/>
      <c r="G172" s="2"/>
      <c r="H172" s="2"/>
      <c r="I172" s="2"/>
      <c r="J172" s="2"/>
      <c r="K172" s="2"/>
      <c r="L172" s="2"/>
      <c r="M172" s="2"/>
      <c r="N172" s="2"/>
    </row>
    <row r="173" customFormat="false" ht="15.75" hidden="false" customHeight="true" outlineLevel="0" collapsed="false">
      <c r="A173" s="2"/>
      <c r="B173" s="2"/>
      <c r="C173" s="2"/>
      <c r="D173" s="2"/>
      <c r="E173" s="2"/>
      <c r="F173" s="2"/>
      <c r="G173" s="2"/>
      <c r="H173" s="2"/>
      <c r="I173" s="2"/>
      <c r="J173" s="2"/>
      <c r="K173" s="2"/>
      <c r="L173" s="2"/>
      <c r="M173" s="2"/>
      <c r="N173" s="2"/>
    </row>
    <row r="174" customFormat="false" ht="15.75" hidden="false" customHeight="true" outlineLevel="0" collapsed="false">
      <c r="A174" s="2"/>
      <c r="B174" s="2"/>
      <c r="C174" s="2"/>
      <c r="D174" s="2"/>
      <c r="E174" s="2"/>
      <c r="F174" s="2"/>
      <c r="G174" s="2"/>
      <c r="H174" s="2"/>
      <c r="I174" s="2"/>
      <c r="J174" s="2"/>
      <c r="K174" s="2"/>
      <c r="L174" s="2"/>
      <c r="M174" s="2"/>
      <c r="N174" s="2"/>
    </row>
    <row r="175" customFormat="false" ht="15.75" hidden="false" customHeight="true" outlineLevel="0" collapsed="false">
      <c r="A175" s="2"/>
      <c r="B175" s="2"/>
      <c r="C175" s="2"/>
      <c r="D175" s="2"/>
      <c r="E175" s="2"/>
      <c r="F175" s="2"/>
      <c r="G175" s="2"/>
      <c r="H175" s="2"/>
      <c r="I175" s="2"/>
      <c r="J175" s="2"/>
      <c r="K175" s="2"/>
      <c r="L175" s="2"/>
      <c r="M175" s="2"/>
      <c r="N175" s="2"/>
    </row>
    <row r="176" customFormat="false" ht="15.75" hidden="false" customHeight="true" outlineLevel="0" collapsed="false">
      <c r="A176" s="2"/>
      <c r="B176" s="2"/>
      <c r="C176" s="2"/>
      <c r="D176" s="2"/>
      <c r="E176" s="2"/>
      <c r="F176" s="2"/>
      <c r="G176" s="2"/>
      <c r="H176" s="2"/>
      <c r="I176" s="2"/>
      <c r="J176" s="2"/>
      <c r="K176" s="2"/>
      <c r="L176" s="2"/>
      <c r="M176" s="2"/>
      <c r="N176" s="2"/>
    </row>
    <row r="177" customFormat="false" ht="15.75" hidden="false" customHeight="true" outlineLevel="0" collapsed="false">
      <c r="A177" s="2"/>
      <c r="B177" s="2"/>
      <c r="C177" s="2"/>
      <c r="D177" s="2"/>
      <c r="E177" s="2"/>
      <c r="F177" s="2"/>
      <c r="G177" s="2"/>
      <c r="H177" s="2"/>
      <c r="I177" s="2"/>
      <c r="J177" s="2"/>
      <c r="K177" s="2"/>
      <c r="L177" s="2"/>
      <c r="M177" s="2"/>
      <c r="N177" s="2"/>
    </row>
    <row r="178" customFormat="false" ht="15.75" hidden="false" customHeight="true" outlineLevel="0" collapsed="false">
      <c r="A178" s="2"/>
      <c r="B178" s="2"/>
      <c r="C178" s="2"/>
      <c r="D178" s="2"/>
      <c r="E178" s="2"/>
      <c r="F178" s="2"/>
      <c r="G178" s="2"/>
      <c r="H178" s="2"/>
      <c r="I178" s="2"/>
      <c r="J178" s="2"/>
      <c r="K178" s="2"/>
      <c r="L178" s="2"/>
      <c r="M178" s="2"/>
      <c r="N178" s="2"/>
    </row>
    <row r="179" customFormat="false" ht="15.75" hidden="false" customHeight="true" outlineLevel="0" collapsed="false">
      <c r="A179" s="2"/>
      <c r="B179" s="2"/>
      <c r="C179" s="2"/>
      <c r="D179" s="2"/>
      <c r="E179" s="2"/>
      <c r="F179" s="2"/>
      <c r="G179" s="2"/>
      <c r="H179" s="2"/>
      <c r="I179" s="2"/>
      <c r="J179" s="2"/>
      <c r="K179" s="2"/>
      <c r="L179" s="2"/>
      <c r="M179" s="2"/>
      <c r="N179" s="2"/>
    </row>
    <row r="180" customFormat="false" ht="15.75" hidden="false" customHeight="true" outlineLevel="0" collapsed="false">
      <c r="A180" s="2"/>
      <c r="B180" s="2"/>
      <c r="C180" s="2"/>
      <c r="D180" s="2"/>
      <c r="E180" s="2"/>
      <c r="F180" s="2"/>
      <c r="G180" s="2"/>
      <c r="H180" s="2"/>
      <c r="I180" s="2"/>
      <c r="J180" s="2"/>
      <c r="K180" s="2"/>
      <c r="L180" s="2"/>
      <c r="M180" s="2"/>
      <c r="N180" s="2"/>
    </row>
    <row r="181" customFormat="false" ht="15.75" hidden="false" customHeight="true" outlineLevel="0" collapsed="false">
      <c r="A181" s="2"/>
      <c r="B181" s="2"/>
      <c r="C181" s="2"/>
      <c r="D181" s="2"/>
      <c r="E181" s="2"/>
      <c r="F181" s="2"/>
      <c r="G181" s="2"/>
      <c r="H181" s="2"/>
      <c r="I181" s="2"/>
      <c r="J181" s="2"/>
      <c r="K181" s="2"/>
      <c r="L181" s="2"/>
      <c r="M181" s="2"/>
      <c r="N181" s="2"/>
    </row>
    <row r="182" customFormat="false" ht="15.75" hidden="false" customHeight="true" outlineLevel="0" collapsed="false">
      <c r="A182" s="2"/>
      <c r="B182" s="2"/>
      <c r="C182" s="2"/>
      <c r="D182" s="2"/>
      <c r="E182" s="2"/>
      <c r="F182" s="2"/>
      <c r="G182" s="2"/>
      <c r="H182" s="2"/>
      <c r="I182" s="2"/>
      <c r="J182" s="2"/>
      <c r="K182" s="2"/>
      <c r="L182" s="2"/>
      <c r="M182" s="2"/>
      <c r="N182" s="2"/>
    </row>
    <row r="183" customFormat="false" ht="15.75" hidden="false" customHeight="true" outlineLevel="0" collapsed="false">
      <c r="A183" s="2"/>
      <c r="B183" s="2"/>
      <c r="C183" s="2"/>
      <c r="D183" s="2"/>
      <c r="E183" s="2"/>
      <c r="F183" s="2"/>
      <c r="G183" s="2"/>
      <c r="H183" s="2"/>
      <c r="I183" s="2"/>
      <c r="J183" s="2"/>
      <c r="K183" s="2"/>
      <c r="L183" s="2"/>
      <c r="M183" s="2"/>
      <c r="N183" s="2"/>
    </row>
    <row r="184" customFormat="false" ht="15.75" hidden="false" customHeight="true" outlineLevel="0" collapsed="false">
      <c r="A184" s="2"/>
      <c r="B184" s="2"/>
      <c r="C184" s="2"/>
      <c r="D184" s="2"/>
      <c r="E184" s="2"/>
      <c r="F184" s="2"/>
      <c r="G184" s="2"/>
      <c r="H184" s="2"/>
      <c r="I184" s="2"/>
      <c r="J184" s="2"/>
      <c r="K184" s="2"/>
      <c r="L184" s="2"/>
      <c r="M184" s="2"/>
      <c r="N184" s="2"/>
    </row>
    <row r="185" customFormat="false" ht="15.75" hidden="false" customHeight="true" outlineLevel="0" collapsed="false">
      <c r="A185" s="2"/>
      <c r="B185" s="2"/>
      <c r="C185" s="2"/>
      <c r="D185" s="2"/>
      <c r="E185" s="2"/>
      <c r="F185" s="2"/>
      <c r="G185" s="2"/>
      <c r="H185" s="2"/>
      <c r="I185" s="2"/>
      <c r="J185" s="2"/>
      <c r="K185" s="2"/>
      <c r="L185" s="2"/>
      <c r="M185" s="2"/>
      <c r="N185" s="2"/>
    </row>
    <row r="186" customFormat="false" ht="15.75" hidden="false" customHeight="true" outlineLevel="0" collapsed="false">
      <c r="A186" s="2"/>
      <c r="B186" s="2"/>
      <c r="C186" s="2"/>
      <c r="D186" s="2"/>
      <c r="E186" s="2"/>
      <c r="F186" s="2"/>
      <c r="G186" s="2"/>
      <c r="H186" s="2"/>
      <c r="I186" s="2"/>
      <c r="J186" s="2"/>
      <c r="K186" s="2"/>
      <c r="L186" s="2"/>
      <c r="M186" s="2"/>
      <c r="N186" s="2"/>
    </row>
    <row r="187" customFormat="false" ht="15.75" hidden="false" customHeight="true" outlineLevel="0" collapsed="false">
      <c r="A187" s="2"/>
      <c r="B187" s="2"/>
      <c r="C187" s="2"/>
      <c r="D187" s="2"/>
      <c r="E187" s="2"/>
      <c r="F187" s="2"/>
      <c r="G187" s="2"/>
      <c r="H187" s="2"/>
      <c r="I187" s="2"/>
      <c r="J187" s="2"/>
      <c r="K187" s="2"/>
      <c r="L187" s="2"/>
      <c r="M187" s="2"/>
      <c r="N187" s="2"/>
    </row>
    <row r="188" customFormat="false" ht="15.75" hidden="false" customHeight="true" outlineLevel="0" collapsed="false">
      <c r="A188" s="2"/>
      <c r="B188" s="2"/>
      <c r="C188" s="2"/>
      <c r="D188" s="2"/>
      <c r="E188" s="2"/>
      <c r="F188" s="2"/>
      <c r="G188" s="2"/>
      <c r="H188" s="2"/>
      <c r="I188" s="2"/>
      <c r="J188" s="2"/>
      <c r="K188" s="2"/>
      <c r="L188" s="2"/>
      <c r="M188" s="2"/>
      <c r="N188" s="2"/>
    </row>
    <row r="189" customFormat="false" ht="15.75" hidden="false" customHeight="true" outlineLevel="0" collapsed="false">
      <c r="A189" s="2"/>
      <c r="B189" s="2"/>
      <c r="C189" s="2"/>
      <c r="D189" s="2"/>
      <c r="E189" s="2"/>
      <c r="F189" s="2"/>
      <c r="G189" s="2"/>
      <c r="H189" s="2"/>
      <c r="I189" s="2"/>
      <c r="J189" s="2"/>
      <c r="K189" s="2"/>
      <c r="L189" s="2"/>
      <c r="M189" s="2"/>
      <c r="N189" s="2"/>
    </row>
    <row r="190" customFormat="false" ht="15.75" hidden="false" customHeight="true" outlineLevel="0" collapsed="false">
      <c r="A190" s="2"/>
      <c r="B190" s="2"/>
      <c r="C190" s="2"/>
      <c r="D190" s="2"/>
      <c r="E190" s="2"/>
      <c r="F190" s="2"/>
      <c r="G190" s="2"/>
      <c r="H190" s="2"/>
      <c r="I190" s="2"/>
      <c r="J190" s="2"/>
      <c r="K190" s="2"/>
      <c r="L190" s="2"/>
      <c r="M190" s="2"/>
      <c r="N190" s="2"/>
    </row>
    <row r="191" customFormat="false" ht="15.75" hidden="false" customHeight="true" outlineLevel="0" collapsed="false">
      <c r="A191" s="2"/>
      <c r="B191" s="2"/>
      <c r="C191" s="2"/>
      <c r="D191" s="2"/>
      <c r="E191" s="2"/>
      <c r="F191" s="2"/>
      <c r="G191" s="2"/>
      <c r="H191" s="2"/>
      <c r="I191" s="2"/>
      <c r="J191" s="2"/>
      <c r="K191" s="2"/>
      <c r="L191" s="2"/>
      <c r="M191" s="2"/>
      <c r="N191" s="2"/>
    </row>
    <row r="192" customFormat="false" ht="15.75" hidden="false" customHeight="true" outlineLevel="0" collapsed="false">
      <c r="A192" s="2"/>
      <c r="B192" s="2"/>
      <c r="C192" s="2"/>
      <c r="D192" s="2"/>
      <c r="E192" s="2"/>
      <c r="F192" s="2"/>
      <c r="G192" s="2"/>
      <c r="H192" s="2"/>
      <c r="I192" s="2"/>
      <c r="J192" s="2"/>
      <c r="K192" s="2"/>
      <c r="L192" s="2"/>
      <c r="M192" s="2"/>
      <c r="N192" s="2"/>
    </row>
    <row r="193" customFormat="false" ht="15.75" hidden="false" customHeight="true" outlineLevel="0" collapsed="false">
      <c r="A193" s="2"/>
      <c r="B193" s="2"/>
      <c r="C193" s="2"/>
      <c r="D193" s="2"/>
      <c r="E193" s="2"/>
      <c r="F193" s="2"/>
      <c r="G193" s="2"/>
      <c r="H193" s="2"/>
      <c r="I193" s="2"/>
      <c r="J193" s="2"/>
      <c r="K193" s="2"/>
      <c r="L193" s="2"/>
      <c r="M193" s="2"/>
      <c r="N193" s="2"/>
    </row>
    <row r="194" customFormat="false" ht="15.75" hidden="false" customHeight="true" outlineLevel="0" collapsed="false">
      <c r="A194" s="2"/>
      <c r="B194" s="2"/>
      <c r="C194" s="2"/>
      <c r="D194" s="2"/>
      <c r="E194" s="2"/>
      <c r="F194" s="2"/>
      <c r="G194" s="2"/>
      <c r="H194" s="2"/>
      <c r="I194" s="2"/>
      <c r="J194" s="2"/>
      <c r="K194" s="2"/>
      <c r="L194" s="2"/>
      <c r="M194" s="2"/>
      <c r="N194" s="2"/>
    </row>
    <row r="195" customFormat="false" ht="15.75" hidden="false" customHeight="true" outlineLevel="0" collapsed="false">
      <c r="A195" s="2"/>
      <c r="B195" s="2"/>
      <c r="C195" s="2"/>
      <c r="D195" s="2"/>
      <c r="E195" s="2"/>
      <c r="F195" s="2"/>
      <c r="G195" s="2"/>
      <c r="H195" s="2"/>
      <c r="I195" s="2"/>
      <c r="J195" s="2"/>
      <c r="K195" s="2"/>
      <c r="L195" s="2"/>
      <c r="M195" s="2"/>
      <c r="N195" s="2"/>
    </row>
    <row r="196" customFormat="false" ht="15.75" hidden="false" customHeight="true" outlineLevel="0" collapsed="false">
      <c r="A196" s="2"/>
      <c r="B196" s="2"/>
      <c r="C196" s="2"/>
      <c r="D196" s="2"/>
      <c r="E196" s="2"/>
      <c r="F196" s="2"/>
      <c r="G196" s="2"/>
      <c r="H196" s="2"/>
      <c r="I196" s="2"/>
      <c r="J196" s="2"/>
      <c r="K196" s="2"/>
      <c r="L196" s="2"/>
      <c r="M196" s="2"/>
      <c r="N196" s="2"/>
    </row>
    <row r="197" customFormat="false" ht="15.75" hidden="false" customHeight="true" outlineLevel="0" collapsed="false">
      <c r="A197" s="2"/>
      <c r="B197" s="2"/>
      <c r="C197" s="2"/>
      <c r="D197" s="2"/>
      <c r="E197" s="2"/>
      <c r="F197" s="2"/>
      <c r="G197" s="2"/>
      <c r="H197" s="2"/>
      <c r="I197" s="2"/>
      <c r="J197" s="2"/>
      <c r="K197" s="2"/>
      <c r="L197" s="2"/>
      <c r="M197" s="2"/>
      <c r="N197" s="2"/>
    </row>
    <row r="198" customFormat="false" ht="15.75" hidden="false" customHeight="true" outlineLevel="0" collapsed="false">
      <c r="A198" s="2"/>
      <c r="B198" s="2"/>
      <c r="C198" s="2"/>
      <c r="D198" s="2"/>
      <c r="E198" s="2"/>
      <c r="F198" s="2"/>
      <c r="G198" s="2"/>
      <c r="H198" s="2"/>
      <c r="I198" s="2"/>
      <c r="J198" s="2"/>
      <c r="K198" s="2"/>
      <c r="L198" s="2"/>
      <c r="M198" s="2"/>
      <c r="N198" s="2"/>
    </row>
    <row r="199" customFormat="false" ht="15.75" hidden="false" customHeight="true" outlineLevel="0" collapsed="false">
      <c r="A199" s="2"/>
      <c r="B199" s="2"/>
      <c r="C199" s="2"/>
      <c r="D199" s="2"/>
      <c r="E199" s="2"/>
      <c r="F199" s="2"/>
      <c r="G199" s="2"/>
      <c r="H199" s="2"/>
      <c r="I199" s="2"/>
      <c r="J199" s="2"/>
      <c r="K199" s="2"/>
      <c r="L199" s="2"/>
      <c r="M199" s="2"/>
      <c r="N199" s="2"/>
    </row>
    <row r="200" customFormat="false" ht="15.75" hidden="false" customHeight="true" outlineLevel="0" collapsed="false">
      <c r="A200" s="2"/>
      <c r="B200" s="2"/>
      <c r="C200" s="2"/>
      <c r="D200" s="2"/>
      <c r="E200" s="2"/>
      <c r="F200" s="2"/>
      <c r="G200" s="2"/>
      <c r="H200" s="2"/>
      <c r="I200" s="2"/>
      <c r="J200" s="2"/>
      <c r="K200" s="2"/>
      <c r="L200" s="2"/>
      <c r="M200" s="2"/>
      <c r="N200" s="2"/>
    </row>
    <row r="201" customFormat="false" ht="15.75" hidden="false" customHeight="true" outlineLevel="0" collapsed="false">
      <c r="A201" s="2"/>
      <c r="B201" s="2"/>
      <c r="C201" s="2"/>
      <c r="D201" s="2"/>
      <c r="E201" s="2"/>
      <c r="F201" s="2"/>
      <c r="G201" s="2"/>
      <c r="H201" s="2"/>
      <c r="I201" s="2"/>
      <c r="J201" s="2"/>
      <c r="K201" s="2"/>
      <c r="L201" s="2"/>
      <c r="M201" s="2"/>
      <c r="N201" s="2"/>
    </row>
    <row r="202" customFormat="false" ht="15.75" hidden="false" customHeight="true" outlineLevel="0" collapsed="false">
      <c r="A202" s="2"/>
      <c r="B202" s="2"/>
      <c r="C202" s="2"/>
      <c r="D202" s="2"/>
      <c r="E202" s="2"/>
      <c r="F202" s="2"/>
      <c r="G202" s="2"/>
      <c r="H202" s="2"/>
      <c r="I202" s="2"/>
      <c r="J202" s="2"/>
      <c r="K202" s="2"/>
      <c r="L202" s="2"/>
      <c r="M202" s="2"/>
      <c r="N202" s="2"/>
    </row>
    <row r="203" customFormat="false" ht="15.75" hidden="false" customHeight="true" outlineLevel="0" collapsed="false">
      <c r="A203" s="2"/>
      <c r="B203" s="2"/>
      <c r="C203" s="2"/>
      <c r="D203" s="2"/>
      <c r="E203" s="2"/>
      <c r="F203" s="2"/>
      <c r="G203" s="2"/>
      <c r="H203" s="2"/>
      <c r="I203" s="2"/>
      <c r="J203" s="2"/>
      <c r="K203" s="2"/>
      <c r="L203" s="2"/>
      <c r="M203" s="2"/>
      <c r="N203" s="2"/>
    </row>
    <row r="204" customFormat="false" ht="15.75" hidden="false" customHeight="true" outlineLevel="0" collapsed="false">
      <c r="A204" s="2"/>
      <c r="B204" s="2"/>
      <c r="C204" s="2"/>
      <c r="D204" s="2"/>
      <c r="E204" s="2"/>
      <c r="F204" s="2"/>
      <c r="G204" s="2"/>
      <c r="H204" s="2"/>
      <c r="I204" s="2"/>
      <c r="J204" s="2"/>
      <c r="K204" s="2"/>
      <c r="L204" s="2"/>
      <c r="M204" s="2"/>
      <c r="N204" s="2"/>
    </row>
    <row r="205" customFormat="false" ht="15.75" hidden="false" customHeight="true" outlineLevel="0" collapsed="false">
      <c r="A205" s="2"/>
      <c r="B205" s="2"/>
      <c r="C205" s="2"/>
      <c r="D205" s="2"/>
      <c r="E205" s="2"/>
      <c r="F205" s="2"/>
      <c r="G205" s="2"/>
      <c r="H205" s="2"/>
      <c r="I205" s="2"/>
      <c r="J205" s="2"/>
      <c r="K205" s="2"/>
      <c r="L205" s="2"/>
      <c r="M205" s="2"/>
      <c r="N205" s="2"/>
    </row>
    <row r="206" customFormat="false" ht="15.75" hidden="false" customHeight="true" outlineLevel="0" collapsed="false">
      <c r="A206" s="2"/>
      <c r="B206" s="2"/>
      <c r="C206" s="2"/>
      <c r="D206" s="2"/>
      <c r="E206" s="2"/>
      <c r="F206" s="2"/>
      <c r="G206" s="2"/>
      <c r="H206" s="2"/>
      <c r="I206" s="2"/>
      <c r="J206" s="2"/>
      <c r="K206" s="2"/>
      <c r="L206" s="2"/>
      <c r="M206" s="2"/>
      <c r="N206" s="2"/>
    </row>
    <row r="207" customFormat="false" ht="15.75" hidden="false" customHeight="true" outlineLevel="0" collapsed="false">
      <c r="A207" s="2"/>
      <c r="B207" s="2"/>
      <c r="C207" s="2"/>
      <c r="D207" s="2"/>
      <c r="E207" s="2"/>
      <c r="F207" s="2"/>
      <c r="G207" s="2"/>
      <c r="H207" s="2"/>
      <c r="I207" s="2"/>
      <c r="J207" s="2"/>
      <c r="K207" s="2"/>
      <c r="L207" s="2"/>
      <c r="M207" s="2"/>
      <c r="N207" s="2"/>
    </row>
    <row r="208" customFormat="false" ht="15.75" hidden="false" customHeight="true" outlineLevel="0" collapsed="false">
      <c r="A208" s="2"/>
      <c r="B208" s="2"/>
      <c r="C208" s="2"/>
      <c r="D208" s="2"/>
      <c r="E208" s="2"/>
      <c r="F208" s="2"/>
      <c r="G208" s="2"/>
      <c r="H208" s="2"/>
      <c r="I208" s="2"/>
      <c r="J208" s="2"/>
      <c r="K208" s="2"/>
      <c r="L208" s="2"/>
      <c r="M208" s="2"/>
      <c r="N208" s="2"/>
    </row>
    <row r="209" customFormat="false" ht="15.75" hidden="false" customHeight="true" outlineLevel="0" collapsed="false">
      <c r="A209" s="2"/>
      <c r="B209" s="2"/>
      <c r="C209" s="2"/>
      <c r="D209" s="2"/>
      <c r="E209" s="2"/>
      <c r="F209" s="2"/>
      <c r="G209" s="2"/>
      <c r="H209" s="2"/>
      <c r="I209" s="2"/>
      <c r="J209" s="2"/>
      <c r="K209" s="2"/>
      <c r="L209" s="2"/>
      <c r="M209" s="2"/>
      <c r="N209" s="2"/>
    </row>
    <row r="210" customFormat="false" ht="15.75" hidden="false" customHeight="true" outlineLevel="0" collapsed="false">
      <c r="A210" s="2"/>
      <c r="B210" s="2"/>
      <c r="C210" s="2"/>
      <c r="D210" s="2"/>
      <c r="E210" s="2"/>
      <c r="F210" s="2"/>
      <c r="G210" s="2"/>
      <c r="H210" s="2"/>
      <c r="I210" s="2"/>
      <c r="J210" s="2"/>
      <c r="K210" s="2"/>
      <c r="L210" s="2"/>
      <c r="M210" s="2"/>
      <c r="N210" s="2"/>
    </row>
    <row r="211" customFormat="false" ht="15.75" hidden="false" customHeight="true" outlineLevel="0" collapsed="false">
      <c r="A211" s="2"/>
      <c r="B211" s="2"/>
      <c r="C211" s="2"/>
      <c r="D211" s="2"/>
      <c r="E211" s="2"/>
      <c r="F211" s="2"/>
      <c r="G211" s="2"/>
      <c r="H211" s="2"/>
      <c r="I211" s="2"/>
      <c r="J211" s="2"/>
      <c r="K211" s="2"/>
      <c r="L211" s="2"/>
      <c r="M211" s="2"/>
      <c r="N211" s="2"/>
    </row>
    <row r="212" customFormat="false" ht="15.75" hidden="false" customHeight="true" outlineLevel="0" collapsed="false">
      <c r="A212" s="2"/>
      <c r="B212" s="2"/>
      <c r="C212" s="2"/>
      <c r="D212" s="2"/>
      <c r="E212" s="2"/>
      <c r="F212" s="2"/>
      <c r="G212" s="2"/>
      <c r="H212" s="2"/>
      <c r="I212" s="2"/>
      <c r="J212" s="2"/>
      <c r="K212" s="2"/>
      <c r="L212" s="2"/>
      <c r="M212" s="2"/>
      <c r="N212" s="2"/>
    </row>
    <row r="213" customFormat="false" ht="15.75" hidden="false" customHeight="true" outlineLevel="0" collapsed="false">
      <c r="A213" s="2"/>
      <c r="B213" s="2"/>
      <c r="C213" s="2"/>
      <c r="D213" s="2"/>
      <c r="E213" s="2"/>
      <c r="F213" s="2"/>
      <c r="G213" s="2"/>
      <c r="H213" s="2"/>
      <c r="I213" s="2"/>
      <c r="J213" s="2"/>
      <c r="K213" s="2"/>
      <c r="L213" s="2"/>
      <c r="M213" s="2"/>
      <c r="N213" s="2"/>
    </row>
    <row r="214" customFormat="false" ht="15.75" hidden="false" customHeight="true" outlineLevel="0" collapsed="false">
      <c r="A214" s="2"/>
      <c r="B214" s="2"/>
      <c r="C214" s="2"/>
      <c r="D214" s="2"/>
      <c r="E214" s="2"/>
      <c r="F214" s="2"/>
      <c r="G214" s="2"/>
      <c r="H214" s="2"/>
      <c r="I214" s="2"/>
      <c r="J214" s="2"/>
      <c r="K214" s="2"/>
      <c r="L214" s="2"/>
      <c r="M214" s="2"/>
      <c r="N214" s="2"/>
    </row>
    <row r="215" customFormat="false" ht="15.75" hidden="false" customHeight="true" outlineLevel="0" collapsed="false">
      <c r="A215" s="2"/>
      <c r="B215" s="2"/>
      <c r="C215" s="2"/>
      <c r="D215" s="2"/>
      <c r="E215" s="2"/>
      <c r="F215" s="2"/>
      <c r="G215" s="2"/>
      <c r="H215" s="2"/>
      <c r="I215" s="2"/>
      <c r="J215" s="2"/>
      <c r="K215" s="2"/>
      <c r="L215" s="2"/>
      <c r="M215" s="2"/>
      <c r="N215" s="2"/>
    </row>
    <row r="216" customFormat="false" ht="15.75" hidden="false" customHeight="true" outlineLevel="0" collapsed="false">
      <c r="A216" s="2"/>
      <c r="B216" s="2"/>
      <c r="C216" s="2"/>
      <c r="D216" s="2"/>
      <c r="E216" s="2"/>
      <c r="F216" s="2"/>
      <c r="G216" s="2"/>
      <c r="H216" s="2"/>
      <c r="I216" s="2"/>
      <c r="J216" s="2"/>
      <c r="K216" s="2"/>
      <c r="L216" s="2"/>
      <c r="M216" s="2"/>
      <c r="N216" s="2"/>
    </row>
    <row r="217" customFormat="false" ht="15.75" hidden="false" customHeight="true" outlineLevel="0" collapsed="false">
      <c r="A217" s="2"/>
      <c r="B217" s="2"/>
      <c r="C217" s="2"/>
      <c r="D217" s="2"/>
      <c r="E217" s="2"/>
      <c r="F217" s="2"/>
      <c r="G217" s="2"/>
      <c r="H217" s="2"/>
      <c r="I217" s="2"/>
      <c r="J217" s="2"/>
      <c r="K217" s="2"/>
      <c r="L217" s="2"/>
      <c r="M217" s="2"/>
      <c r="N217" s="2"/>
    </row>
    <row r="218" customFormat="false" ht="15.75" hidden="false" customHeight="true" outlineLevel="0" collapsed="false">
      <c r="A218" s="2"/>
      <c r="B218" s="2"/>
      <c r="C218" s="2"/>
      <c r="D218" s="2"/>
      <c r="E218" s="2"/>
      <c r="F218" s="2"/>
      <c r="G218" s="2"/>
      <c r="H218" s="2"/>
      <c r="I218" s="2"/>
      <c r="J218" s="2"/>
      <c r="K218" s="2"/>
      <c r="L218" s="2"/>
      <c r="M218" s="2"/>
      <c r="N218" s="2"/>
    </row>
    <row r="219" customFormat="false" ht="15.75" hidden="false" customHeight="true" outlineLevel="0" collapsed="false">
      <c r="A219" s="2"/>
      <c r="B219" s="2"/>
      <c r="C219" s="2"/>
      <c r="D219" s="2"/>
      <c r="E219" s="2"/>
      <c r="F219" s="2"/>
      <c r="G219" s="2"/>
      <c r="H219" s="2"/>
      <c r="I219" s="2"/>
      <c r="J219" s="2"/>
      <c r="K219" s="2"/>
      <c r="L219" s="2"/>
      <c r="M219" s="2"/>
      <c r="N219" s="2"/>
    </row>
    <row r="220" customFormat="false" ht="15.75" hidden="false" customHeight="true" outlineLevel="0" collapsed="false">
      <c r="A220" s="2"/>
      <c r="B220" s="2"/>
      <c r="C220" s="2"/>
      <c r="D220" s="2"/>
      <c r="E220" s="2"/>
      <c r="F220" s="2"/>
      <c r="G220" s="2"/>
      <c r="H220" s="2"/>
      <c r="I220" s="2"/>
      <c r="J220" s="2"/>
      <c r="K220" s="2"/>
      <c r="L220" s="2"/>
      <c r="M220" s="2"/>
      <c r="N220" s="2"/>
    </row>
    <row r="221" customFormat="false" ht="15.75" hidden="false" customHeight="true" outlineLevel="0" collapsed="false">
      <c r="A221" s="2"/>
      <c r="B221" s="2"/>
      <c r="C221" s="2"/>
      <c r="D221" s="2"/>
      <c r="E221" s="2"/>
      <c r="F221" s="2"/>
      <c r="G221" s="2"/>
      <c r="H221" s="2"/>
      <c r="I221" s="2"/>
      <c r="J221" s="2"/>
      <c r="K221" s="2"/>
      <c r="L221" s="2"/>
      <c r="M221" s="2"/>
      <c r="N221" s="2"/>
    </row>
    <row r="222" customFormat="false" ht="15.75" hidden="false" customHeight="true" outlineLevel="0" collapsed="false">
      <c r="A222" s="2"/>
      <c r="B222" s="2"/>
      <c r="C222" s="2"/>
      <c r="D222" s="2"/>
      <c r="E222" s="2"/>
      <c r="F222" s="2"/>
      <c r="G222" s="2"/>
      <c r="H222" s="2"/>
      <c r="I222" s="2"/>
      <c r="J222" s="2"/>
      <c r="K222" s="2"/>
      <c r="L222" s="2"/>
      <c r="M222" s="2"/>
      <c r="N222" s="2"/>
    </row>
    <row r="223" customFormat="false" ht="15.75" hidden="false" customHeight="true" outlineLevel="0" collapsed="false">
      <c r="A223" s="2"/>
      <c r="B223" s="2"/>
      <c r="C223" s="2"/>
      <c r="D223" s="2"/>
      <c r="E223" s="2"/>
      <c r="F223" s="2"/>
      <c r="G223" s="2"/>
      <c r="H223" s="2"/>
      <c r="I223" s="2"/>
      <c r="J223" s="2"/>
      <c r="K223" s="2"/>
      <c r="L223" s="2"/>
      <c r="M223" s="2"/>
      <c r="N223" s="2"/>
    </row>
    <row r="224" customFormat="false" ht="15.75" hidden="false" customHeight="true" outlineLevel="0" collapsed="false">
      <c r="A224" s="2"/>
      <c r="B224" s="2"/>
      <c r="C224" s="2"/>
      <c r="D224" s="2"/>
      <c r="E224" s="2"/>
      <c r="F224" s="2"/>
      <c r="G224" s="2"/>
      <c r="H224" s="2"/>
      <c r="I224" s="2"/>
      <c r="J224" s="2"/>
      <c r="K224" s="2"/>
      <c r="L224" s="2"/>
      <c r="M224" s="2"/>
      <c r="N224" s="2"/>
    </row>
    <row r="225" customFormat="false" ht="15.75" hidden="false" customHeight="true" outlineLevel="0" collapsed="false">
      <c r="A225" s="2"/>
      <c r="B225" s="2"/>
      <c r="C225" s="2"/>
      <c r="D225" s="2"/>
      <c r="E225" s="2"/>
      <c r="F225" s="2"/>
      <c r="G225" s="2"/>
      <c r="H225" s="2"/>
      <c r="I225" s="2"/>
      <c r="J225" s="2"/>
      <c r="K225" s="2"/>
      <c r="L225" s="2"/>
      <c r="M225" s="2"/>
      <c r="N225" s="2"/>
    </row>
    <row r="226" customFormat="false" ht="15.75" hidden="false" customHeight="true" outlineLevel="0" collapsed="false">
      <c r="A226" s="2"/>
      <c r="B226" s="2"/>
      <c r="C226" s="2"/>
      <c r="D226" s="2"/>
      <c r="E226" s="2"/>
      <c r="F226" s="2"/>
      <c r="G226" s="2"/>
      <c r="H226" s="2"/>
      <c r="I226" s="2"/>
      <c r="J226" s="2"/>
      <c r="K226" s="2"/>
      <c r="L226" s="2"/>
      <c r="M226" s="2"/>
      <c r="N226" s="2"/>
    </row>
    <row r="227" customFormat="false" ht="15.75" hidden="false" customHeight="true" outlineLevel="0" collapsed="false">
      <c r="A227" s="2"/>
      <c r="B227" s="2"/>
      <c r="C227" s="2"/>
      <c r="D227" s="2"/>
      <c r="E227" s="2"/>
      <c r="F227" s="2"/>
      <c r="G227" s="2"/>
      <c r="H227" s="2"/>
      <c r="I227" s="2"/>
      <c r="J227" s="2"/>
      <c r="K227" s="2"/>
      <c r="L227" s="2"/>
      <c r="M227" s="2"/>
      <c r="N227" s="2"/>
    </row>
    <row r="228" customFormat="false" ht="15.75" hidden="false" customHeight="true" outlineLevel="0" collapsed="false">
      <c r="A228" s="2"/>
      <c r="B228" s="2"/>
      <c r="C228" s="2"/>
      <c r="D228" s="2"/>
      <c r="E228" s="2"/>
      <c r="F228" s="2"/>
      <c r="G228" s="2"/>
      <c r="H228" s="2"/>
      <c r="I228" s="2"/>
      <c r="J228" s="2"/>
      <c r="K228" s="2"/>
      <c r="L228" s="2"/>
      <c r="M228" s="2"/>
      <c r="N228" s="2"/>
    </row>
    <row r="229" customFormat="false" ht="15.75" hidden="false" customHeight="true" outlineLevel="0" collapsed="false">
      <c r="A229" s="2"/>
      <c r="B229" s="2"/>
      <c r="C229" s="2"/>
      <c r="D229" s="2"/>
      <c r="E229" s="2"/>
      <c r="F229" s="2"/>
      <c r="G229" s="2"/>
      <c r="H229" s="2"/>
      <c r="I229" s="2"/>
      <c r="J229" s="2"/>
      <c r="K229" s="2"/>
      <c r="L229" s="2"/>
      <c r="M229" s="2"/>
      <c r="N229" s="2"/>
    </row>
    <row r="230" customFormat="false" ht="15.75" hidden="false" customHeight="true" outlineLevel="0" collapsed="false">
      <c r="A230" s="2"/>
      <c r="B230" s="2"/>
      <c r="C230" s="2"/>
      <c r="D230" s="2"/>
      <c r="E230" s="2"/>
      <c r="F230" s="2"/>
      <c r="G230" s="2"/>
      <c r="H230" s="2"/>
      <c r="I230" s="2"/>
      <c r="J230" s="2"/>
      <c r="K230" s="2"/>
      <c r="L230" s="2"/>
      <c r="M230" s="2"/>
      <c r="N230" s="2"/>
    </row>
    <row r="231" customFormat="false" ht="15.75" hidden="false" customHeight="true" outlineLevel="0" collapsed="false">
      <c r="A231" s="2"/>
      <c r="B231" s="2"/>
      <c r="C231" s="2"/>
      <c r="D231" s="2"/>
      <c r="E231" s="2"/>
      <c r="F231" s="2"/>
      <c r="G231" s="2"/>
      <c r="H231" s="2"/>
      <c r="I231" s="2"/>
      <c r="J231" s="2"/>
      <c r="K231" s="2"/>
      <c r="L231" s="2"/>
      <c r="M231" s="2"/>
      <c r="N231" s="2"/>
    </row>
    <row r="232" customFormat="false" ht="15.75" hidden="false" customHeight="true" outlineLevel="0" collapsed="false">
      <c r="A232" s="2"/>
      <c r="B232" s="2"/>
      <c r="C232" s="2"/>
      <c r="D232" s="2"/>
      <c r="E232" s="2"/>
      <c r="F232" s="2"/>
      <c r="G232" s="2"/>
      <c r="H232" s="2"/>
      <c r="I232" s="2"/>
      <c r="J232" s="2"/>
      <c r="K232" s="2"/>
      <c r="L232" s="2"/>
      <c r="M232" s="2"/>
      <c r="N232" s="2"/>
    </row>
    <row r="233" customFormat="false" ht="15.75" hidden="false" customHeight="true" outlineLevel="0" collapsed="false">
      <c r="A233" s="2"/>
      <c r="B233" s="2"/>
      <c r="C233" s="2"/>
      <c r="D233" s="2"/>
      <c r="E233" s="2"/>
      <c r="F233" s="2"/>
      <c r="G233" s="2"/>
      <c r="H233" s="2"/>
      <c r="I233" s="2"/>
      <c r="J233" s="2"/>
      <c r="K233" s="2"/>
      <c r="L233" s="2"/>
      <c r="M233" s="2"/>
      <c r="N233" s="2"/>
    </row>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N28"/>
  <mergeCells count="2">
    <mergeCell ref="A1:K1"/>
    <mergeCell ref="A2:K2"/>
  </mergeCells>
  <conditionalFormatting sqref="C5:C1000">
    <cfRule type="cellIs" priority="2" operator="equal" aboveAverage="0" equalAverage="0" bottom="0" percent="0" rank="0" text="" dxfId="13">
      <formula>"SMS"</formula>
    </cfRule>
    <cfRule type="cellIs" priority="3" operator="equal" aboveAverage="0" equalAverage="0" bottom="0" percent="0" rank="0" text="" dxfId="14">
      <formula>"Email"</formula>
    </cfRule>
    <cfRule type="cellIs" priority="4" operator="equal" aboveAverage="0" equalAverage="0" bottom="0" percent="0" rank="0" text="" dxfId="15">
      <formula>"SMS+Email"</formula>
    </cfRule>
  </conditionalFormatting>
  <conditionalFormatting sqref="D5:D1000">
    <cfRule type="cellIs" priority="5" operator="equal" aboveAverage="0" equalAverage="0" bottom="0" percent="0" rank="0" text="" dxfId="16">
      <formula>"Lender"</formula>
    </cfRule>
    <cfRule type="cellIs" priority="6" operator="equal" aboveAverage="0" equalAverage="0" bottom="0" percent="0" rank="0" text="" dxfId="17">
      <formula>"Borrower"</formula>
    </cfRule>
    <cfRule type="cellIs" priority="7" operator="equal" aboveAverage="0" equalAverage="0" bottom="0" percent="0" rank="0" text="" dxfId="18">
      <formula>"Both"</formula>
    </cfRule>
  </conditionalFormatting>
  <conditionalFormatting sqref="J5:J1000">
    <cfRule type="cellIs" priority="8" operator="equal" aboveAverage="0" equalAverage="0" bottom="0" percent="0" rank="0" text="" dxfId="19">
      <formula>"Verified"</formula>
    </cfRule>
    <cfRule type="cellIs" priority="9" operator="equal" aboveAverage="0" equalAverage="0" bottom="0" percent="0" rank="0" text="" dxfId="20">
      <formula>"In review"</formula>
    </cfRule>
    <cfRule type="cellIs" priority="10" operator="equal" aboveAverage="0" equalAverage="0" bottom="0" percent="0" rank="0" text="" dxfId="21">
      <formula>"Broken"</formula>
    </cfRule>
    <cfRule type="cellIs" priority="11" operator="equal" aboveAverage="0" equalAverage="0" bottom="0" percent="0" rank="0" text="" dxfId="22">
      <formula>"Not yet live"</formula>
    </cfRule>
  </conditionalFormatting>
  <dataValidations count="5">
    <dataValidation allowBlank="true" errorStyle="stop" operator="between" showDropDown="false" showErrorMessage="false" showInputMessage="false" sqref="L5:L28" type="list">
      <formula1>"Yes,No,Deprecated,Partial"</formula1>
      <formula2>0</formula2>
    </dataValidation>
    <dataValidation allowBlank="true" errorStyle="stop" operator="between" showDropDown="false" showErrorMessage="false" showInputMessage="false" sqref="J5:J79" type="list">
      <formula1>"Verified,In review,Broken,Not yet live"</formula1>
      <formula2>0</formula2>
    </dataValidation>
    <dataValidation allowBlank="true" errorStyle="stop" operator="between" showDropDown="false" showErrorMessage="false" showInputMessage="false" sqref="C5:C79" type="list">
      <formula1>"SMS,Email,SMS+Email"</formula1>
      <formula2>0</formula2>
    </dataValidation>
    <dataValidation allowBlank="true" errorStyle="stop" operator="between" showDropDown="false" showErrorMessage="false" showInputMessage="false" sqref="D5:D79" type="list">
      <formula1>"Lender,Borrower,Both"</formula1>
      <formula2>0</formula2>
    </dataValidation>
    <dataValidation allowBlank="true" errorStyle="stop" operator="between" showDropDown="false" showErrorMessage="false" showInputMessage="false" sqref="N5:N28" type="list">
      <formula1>"P0,P1,P2"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customHeight="true" zeroHeight="false" outlineLevelRow="0" outlineLevelCol="0"/>
  <cols>
    <col collapsed="false" customWidth="true" hidden="false" outlineLevel="0" max="1" min="1" style="0" width="22"/>
    <col collapsed="false" customWidth="true" hidden="false" outlineLevel="0" max="2" min="2" style="0" width="90"/>
    <col collapsed="false" customWidth="true" hidden="false" outlineLevel="0" max="6" min="3" style="0" width="8.71"/>
  </cols>
  <sheetData>
    <row r="1" customFormat="false" ht="27.75" hidden="false" customHeight="true" outlineLevel="0" collapsed="false">
      <c r="A1" s="1" t="s">
        <v>554</v>
      </c>
      <c r="B1" s="1"/>
      <c r="C1" s="2"/>
      <c r="D1" s="2"/>
      <c r="E1" s="2"/>
      <c r="F1" s="2"/>
    </row>
    <row r="2" customFormat="false" ht="15" hidden="false" customHeight="false" outlineLevel="0" collapsed="false">
      <c r="A2" s="2"/>
      <c r="B2" s="2"/>
      <c r="C2" s="2"/>
      <c r="D2" s="2"/>
      <c r="E2" s="2"/>
      <c r="F2" s="2"/>
    </row>
    <row r="3" customFormat="false" ht="49.5" hidden="false" customHeight="true" outlineLevel="0" collapsed="false">
      <c r="A3" s="27" t="s">
        <v>101</v>
      </c>
      <c r="B3" s="28" t="s">
        <v>555</v>
      </c>
      <c r="C3" s="2"/>
      <c r="D3" s="2"/>
      <c r="E3" s="2"/>
      <c r="F3" s="2"/>
    </row>
    <row r="4" customFormat="false" ht="49.5" hidden="false" customHeight="true" outlineLevel="0" collapsed="false">
      <c r="A4" s="27" t="s">
        <v>102</v>
      </c>
      <c r="B4" s="28" t="s">
        <v>556</v>
      </c>
      <c r="C4" s="2"/>
      <c r="D4" s="2"/>
      <c r="E4" s="2"/>
      <c r="F4" s="2"/>
    </row>
    <row r="5" customFormat="false" ht="49.5" hidden="false" customHeight="true" outlineLevel="0" collapsed="false">
      <c r="A5" s="27" t="s">
        <v>9</v>
      </c>
      <c r="B5" s="28" t="s">
        <v>557</v>
      </c>
      <c r="C5" s="2"/>
      <c r="D5" s="2"/>
      <c r="E5" s="2"/>
      <c r="F5" s="2"/>
    </row>
    <row r="6" customFormat="false" ht="49.5" hidden="false" customHeight="true" outlineLevel="0" collapsed="false">
      <c r="A6" s="27" t="s">
        <v>558</v>
      </c>
      <c r="B6" s="28" t="s">
        <v>559</v>
      </c>
      <c r="C6" s="2"/>
      <c r="D6" s="2"/>
      <c r="E6" s="2"/>
      <c r="F6" s="2"/>
    </row>
    <row r="7" customFormat="false" ht="49.5" hidden="false" customHeight="true" outlineLevel="0" collapsed="false">
      <c r="A7" s="27" t="s">
        <v>560</v>
      </c>
      <c r="B7" s="28" t="s">
        <v>561</v>
      </c>
      <c r="C7" s="2"/>
      <c r="D7" s="2"/>
      <c r="E7" s="2"/>
      <c r="F7" s="2"/>
    </row>
    <row r="8" customFormat="false" ht="49.5" hidden="false" customHeight="true" outlineLevel="0" collapsed="false">
      <c r="A8" s="27" t="s">
        <v>562</v>
      </c>
      <c r="B8" s="28" t="s">
        <v>563</v>
      </c>
      <c r="C8" s="2"/>
      <c r="D8" s="2"/>
      <c r="E8" s="2"/>
      <c r="F8" s="2"/>
    </row>
    <row r="9" customFormat="false" ht="49.5" hidden="false" customHeight="true" outlineLevel="0" collapsed="false">
      <c r="A9" s="27" t="s">
        <v>564</v>
      </c>
      <c r="B9" s="28" t="s">
        <v>565</v>
      </c>
      <c r="C9" s="2"/>
      <c r="D9" s="2"/>
      <c r="E9" s="2"/>
      <c r="F9" s="2"/>
    </row>
    <row r="10" customFormat="false" ht="49.5" hidden="false" customHeight="true" outlineLevel="0" collapsed="false">
      <c r="A10" s="27" t="s">
        <v>566</v>
      </c>
      <c r="B10" s="28" t="s">
        <v>567</v>
      </c>
      <c r="C10" s="2"/>
      <c r="D10" s="2"/>
      <c r="E10" s="2"/>
      <c r="F10" s="2"/>
    </row>
    <row r="11" customFormat="false" ht="15" hidden="false" customHeight="false" outlineLevel="0" collapsed="false">
      <c r="A11" s="2"/>
      <c r="B11" s="2"/>
      <c r="C11" s="2"/>
      <c r="D11" s="2"/>
      <c r="E11" s="2"/>
      <c r="F11" s="2"/>
    </row>
    <row r="12" customFormat="false" ht="15" hidden="false" customHeight="true" outlineLevel="0" collapsed="false">
      <c r="A12" s="29" t="s">
        <v>568</v>
      </c>
      <c r="B12" s="30" t="s">
        <v>569</v>
      </c>
      <c r="C12" s="2"/>
      <c r="D12" s="2"/>
      <c r="E12" s="2"/>
      <c r="F12" s="2"/>
    </row>
    <row r="13" customFormat="false" ht="15" hidden="false" customHeight="true" outlineLevel="0" collapsed="false">
      <c r="A13" s="29" t="s">
        <v>570</v>
      </c>
      <c r="B13" s="30" t="s">
        <v>571</v>
      </c>
      <c r="C13" s="2"/>
      <c r="D13" s="2"/>
      <c r="E13" s="2"/>
      <c r="F13" s="2"/>
    </row>
    <row r="14" customFormat="false" ht="35.05" hidden="false" customHeight="false" outlineLevel="0" collapsed="false">
      <c r="A14" s="27" t="s">
        <v>572</v>
      </c>
      <c r="B14" s="28" t="s">
        <v>573</v>
      </c>
      <c r="C14" s="2"/>
      <c r="D14" s="2"/>
      <c r="E14" s="2"/>
      <c r="F14" s="2"/>
    </row>
    <row r="15" customFormat="false" ht="46.25" hidden="false" customHeight="false" outlineLevel="0" collapsed="false">
      <c r="A15" s="27" t="s">
        <v>574</v>
      </c>
      <c r="B15" s="28" t="s">
        <v>575</v>
      </c>
      <c r="C15" s="2"/>
      <c r="D15" s="2"/>
      <c r="E15" s="2"/>
      <c r="F15" s="2"/>
    </row>
    <row r="16" customFormat="false" ht="15" hidden="false" customHeight="false" outlineLevel="0" collapsed="false">
      <c r="A16" s="2"/>
      <c r="B16" s="2"/>
      <c r="C16" s="2"/>
      <c r="D16" s="2"/>
      <c r="E16" s="2"/>
      <c r="F16" s="2"/>
    </row>
    <row r="17" customFormat="false" ht="15" hidden="false" customHeight="false" outlineLevel="0" collapsed="false">
      <c r="A17" s="2"/>
      <c r="B17" s="2"/>
      <c r="C17" s="2"/>
      <c r="D17" s="2"/>
      <c r="E17" s="2"/>
      <c r="F17" s="2"/>
    </row>
    <row r="18" customFormat="false" ht="15" hidden="false" customHeight="false" outlineLevel="0" collapsed="false">
      <c r="A18" s="2"/>
      <c r="B18" s="2"/>
      <c r="C18" s="2"/>
      <c r="D18" s="2"/>
      <c r="E18" s="2"/>
      <c r="F18" s="2"/>
    </row>
    <row r="19" customFormat="false" ht="15" hidden="false" customHeight="false" outlineLevel="0" collapsed="false">
      <c r="A19" s="2"/>
      <c r="B19" s="2"/>
      <c r="C19" s="2"/>
      <c r="D19" s="2"/>
      <c r="E19" s="2"/>
      <c r="F19" s="2"/>
    </row>
    <row r="20" customFormat="false" ht="15" hidden="false" customHeight="false" outlineLevel="0" collapsed="false">
      <c r="A20" s="2"/>
      <c r="B20" s="2"/>
      <c r="C20" s="2"/>
      <c r="D20" s="2"/>
      <c r="E20" s="2"/>
      <c r="F20" s="2"/>
    </row>
    <row r="21" customFormat="false" ht="15.75" hidden="false" customHeight="true" outlineLevel="0" collapsed="false">
      <c r="A21" s="2"/>
      <c r="B21" s="2"/>
      <c r="C21" s="2"/>
      <c r="D21" s="2"/>
      <c r="E21" s="2"/>
      <c r="F21" s="2"/>
    </row>
    <row r="22" customFormat="false" ht="15.75" hidden="false" customHeight="true" outlineLevel="0" collapsed="false">
      <c r="A22" s="2"/>
      <c r="B22" s="2"/>
      <c r="C22" s="2"/>
      <c r="D22" s="2"/>
      <c r="E22" s="2"/>
      <c r="F22" s="2"/>
    </row>
    <row r="23" customFormat="false" ht="15.75" hidden="false" customHeight="true" outlineLevel="0" collapsed="false">
      <c r="A23" s="2"/>
      <c r="B23" s="2"/>
      <c r="C23" s="2"/>
      <c r="D23" s="2"/>
      <c r="E23" s="2"/>
      <c r="F23" s="2"/>
    </row>
    <row r="24" customFormat="false" ht="15.75" hidden="false" customHeight="true" outlineLevel="0" collapsed="false">
      <c r="A24" s="2"/>
      <c r="B24" s="2"/>
      <c r="C24" s="2"/>
      <c r="D24" s="2"/>
      <c r="E24" s="2"/>
      <c r="F24" s="2"/>
    </row>
    <row r="25" customFormat="false" ht="15.75" hidden="false" customHeight="true" outlineLevel="0" collapsed="false">
      <c r="A25" s="2"/>
      <c r="B25" s="2"/>
      <c r="C25" s="2"/>
      <c r="D25" s="2"/>
      <c r="E25" s="2"/>
      <c r="F25" s="2"/>
    </row>
    <row r="26" customFormat="false" ht="15.75" hidden="false" customHeight="true" outlineLevel="0" collapsed="false">
      <c r="A26" s="2"/>
      <c r="B26" s="2"/>
      <c r="C26" s="2"/>
      <c r="D26" s="2"/>
      <c r="E26" s="2"/>
      <c r="F26" s="2"/>
    </row>
    <row r="27" customFormat="false" ht="15.75" hidden="false" customHeight="true" outlineLevel="0" collapsed="false">
      <c r="A27" s="2"/>
      <c r="B27" s="2"/>
      <c r="C27" s="2"/>
      <c r="D27" s="2"/>
      <c r="E27" s="2"/>
      <c r="F27" s="2"/>
    </row>
    <row r="28" customFormat="false" ht="15.75" hidden="false" customHeight="true" outlineLevel="0" collapsed="false">
      <c r="A28" s="2"/>
      <c r="B28" s="2"/>
      <c r="C28" s="2"/>
      <c r="D28" s="2"/>
      <c r="E28" s="2"/>
      <c r="F28" s="2"/>
    </row>
    <row r="29" customFormat="false" ht="15.75" hidden="false" customHeight="true" outlineLevel="0" collapsed="false">
      <c r="A29" s="2"/>
      <c r="B29" s="2"/>
      <c r="C29" s="2"/>
      <c r="D29" s="2"/>
      <c r="E29" s="2"/>
      <c r="F29" s="2"/>
    </row>
    <row r="30" customFormat="false" ht="15.75" hidden="false" customHeight="true" outlineLevel="0" collapsed="false">
      <c r="A30" s="2"/>
      <c r="B30" s="2"/>
      <c r="C30" s="2"/>
      <c r="D30" s="2"/>
      <c r="E30" s="2"/>
      <c r="F30" s="2"/>
    </row>
    <row r="31" customFormat="false" ht="15.75" hidden="false" customHeight="true" outlineLevel="0" collapsed="false">
      <c r="A31" s="2"/>
      <c r="B31" s="2"/>
      <c r="C31" s="2"/>
      <c r="D31" s="2"/>
      <c r="E31" s="2"/>
      <c r="F31" s="2"/>
    </row>
    <row r="32" customFormat="false" ht="15.75" hidden="false" customHeight="true" outlineLevel="0" collapsed="false">
      <c r="A32" s="2"/>
      <c r="B32" s="2"/>
      <c r="C32" s="2"/>
      <c r="D32" s="2"/>
      <c r="E32" s="2"/>
      <c r="F32" s="2"/>
    </row>
    <row r="33" customFormat="false" ht="15.75" hidden="false" customHeight="true" outlineLevel="0" collapsed="false">
      <c r="A33" s="2"/>
      <c r="B33" s="2"/>
      <c r="C33" s="2"/>
      <c r="D33" s="2"/>
      <c r="E33" s="2"/>
      <c r="F33" s="2"/>
    </row>
    <row r="34" customFormat="false" ht="15.75" hidden="false" customHeight="true" outlineLevel="0" collapsed="false">
      <c r="A34" s="2"/>
      <c r="B34" s="2"/>
      <c r="C34" s="2"/>
      <c r="D34" s="2"/>
      <c r="E34" s="2"/>
      <c r="F34" s="2"/>
    </row>
    <row r="35" customFormat="false" ht="15.75" hidden="false" customHeight="true" outlineLevel="0" collapsed="false">
      <c r="A35" s="2"/>
      <c r="B35" s="2"/>
      <c r="C35" s="2"/>
      <c r="D35" s="2"/>
      <c r="E35" s="2"/>
      <c r="F35" s="2"/>
    </row>
    <row r="36" customFormat="false" ht="15.75" hidden="false" customHeight="true" outlineLevel="0" collapsed="false">
      <c r="A36" s="2"/>
      <c r="B36" s="2"/>
      <c r="C36" s="2"/>
      <c r="D36" s="2"/>
      <c r="E36" s="2"/>
      <c r="F36" s="2"/>
    </row>
    <row r="37" customFormat="false" ht="15.75" hidden="false" customHeight="true" outlineLevel="0" collapsed="false">
      <c r="A37" s="2"/>
      <c r="B37" s="2"/>
      <c r="C37" s="2"/>
      <c r="D37" s="2"/>
      <c r="E37" s="2"/>
      <c r="F37" s="2"/>
    </row>
    <row r="38" customFormat="false" ht="15.75" hidden="false" customHeight="true" outlineLevel="0" collapsed="false">
      <c r="A38" s="2"/>
      <c r="B38" s="2"/>
      <c r="C38" s="2"/>
      <c r="D38" s="2"/>
      <c r="E38" s="2"/>
      <c r="F38" s="2"/>
    </row>
    <row r="39" customFormat="false" ht="15.75" hidden="false" customHeight="true" outlineLevel="0" collapsed="false">
      <c r="A39" s="2"/>
      <c r="B39" s="2"/>
      <c r="C39" s="2"/>
      <c r="D39" s="2"/>
      <c r="E39" s="2"/>
      <c r="F39" s="2"/>
    </row>
    <row r="40" customFormat="false" ht="15.75" hidden="false" customHeight="true" outlineLevel="0" collapsed="false">
      <c r="A40" s="2"/>
      <c r="B40" s="2"/>
      <c r="C40" s="2"/>
      <c r="D40" s="2"/>
      <c r="E40" s="2"/>
      <c r="F40" s="2"/>
    </row>
    <row r="41" customFormat="false" ht="15.75" hidden="false" customHeight="true" outlineLevel="0" collapsed="false">
      <c r="A41" s="2"/>
      <c r="B41" s="2"/>
      <c r="C41" s="2"/>
      <c r="D41" s="2"/>
      <c r="E41" s="2"/>
      <c r="F41" s="2"/>
    </row>
    <row r="42" customFormat="false" ht="15.75" hidden="false" customHeight="true" outlineLevel="0" collapsed="false">
      <c r="A42" s="2"/>
      <c r="B42" s="2"/>
      <c r="C42" s="2"/>
      <c r="D42" s="2"/>
      <c r="E42" s="2"/>
      <c r="F42" s="2"/>
    </row>
    <row r="43" customFormat="false" ht="15.75" hidden="false" customHeight="true" outlineLevel="0" collapsed="false">
      <c r="A43" s="2"/>
      <c r="B43" s="2"/>
      <c r="C43" s="2"/>
      <c r="D43" s="2"/>
      <c r="E43" s="2"/>
      <c r="F43" s="2"/>
    </row>
    <row r="44" customFormat="false" ht="15.75" hidden="false" customHeight="true" outlineLevel="0" collapsed="false">
      <c r="A44" s="2"/>
      <c r="B44" s="2"/>
      <c r="C44" s="2"/>
      <c r="D44" s="2"/>
      <c r="E44" s="2"/>
      <c r="F44" s="2"/>
    </row>
    <row r="45" customFormat="false" ht="15.75" hidden="false" customHeight="true" outlineLevel="0" collapsed="false">
      <c r="A45" s="2"/>
      <c r="B45" s="2"/>
      <c r="C45" s="2"/>
      <c r="D45" s="2"/>
      <c r="E45" s="2"/>
      <c r="F45" s="2"/>
    </row>
    <row r="46" customFormat="false" ht="15.75" hidden="false" customHeight="true" outlineLevel="0" collapsed="false">
      <c r="A46" s="2"/>
      <c r="B46" s="2"/>
      <c r="C46" s="2"/>
      <c r="D46" s="2"/>
      <c r="E46" s="2"/>
      <c r="F46" s="2"/>
    </row>
    <row r="47" customFormat="false" ht="15.75" hidden="false" customHeight="true" outlineLevel="0" collapsed="false">
      <c r="A47" s="2"/>
      <c r="B47" s="2"/>
      <c r="C47" s="2"/>
      <c r="D47" s="2"/>
      <c r="E47" s="2"/>
      <c r="F47" s="2"/>
    </row>
    <row r="48" customFormat="false" ht="15.75" hidden="false" customHeight="true" outlineLevel="0" collapsed="false">
      <c r="A48" s="2"/>
      <c r="B48" s="2"/>
      <c r="C48" s="2"/>
      <c r="D48" s="2"/>
      <c r="E48" s="2"/>
      <c r="F48" s="2"/>
    </row>
    <row r="49" customFormat="false" ht="15.75" hidden="false" customHeight="true" outlineLevel="0" collapsed="false">
      <c r="A49" s="2"/>
      <c r="B49" s="2"/>
      <c r="C49" s="2"/>
      <c r="D49" s="2"/>
      <c r="E49" s="2"/>
      <c r="F49" s="2"/>
    </row>
    <row r="50" customFormat="false" ht="15.75" hidden="false" customHeight="true" outlineLevel="0" collapsed="false">
      <c r="A50" s="2"/>
      <c r="B50" s="2"/>
      <c r="C50" s="2"/>
      <c r="D50" s="2"/>
      <c r="E50" s="2"/>
      <c r="F50" s="2"/>
    </row>
    <row r="51" customFormat="false" ht="15.75" hidden="false" customHeight="true" outlineLevel="0" collapsed="false">
      <c r="A51" s="2"/>
      <c r="B51" s="2"/>
      <c r="C51" s="2"/>
      <c r="D51" s="2"/>
      <c r="E51" s="2"/>
      <c r="F51" s="2"/>
    </row>
    <row r="52" customFormat="false" ht="15.75" hidden="false" customHeight="true" outlineLevel="0" collapsed="false">
      <c r="A52" s="2"/>
      <c r="B52" s="2"/>
      <c r="C52" s="2"/>
      <c r="D52" s="2"/>
      <c r="E52" s="2"/>
      <c r="F52" s="2"/>
    </row>
    <row r="53" customFormat="false" ht="15.75" hidden="false" customHeight="true" outlineLevel="0" collapsed="false">
      <c r="A53" s="2"/>
      <c r="B53" s="2"/>
      <c r="C53" s="2"/>
      <c r="D53" s="2"/>
      <c r="E53" s="2"/>
      <c r="F53" s="2"/>
    </row>
    <row r="54" customFormat="false" ht="15.75" hidden="false" customHeight="true" outlineLevel="0" collapsed="false">
      <c r="A54" s="2"/>
      <c r="B54" s="2"/>
      <c r="C54" s="2"/>
      <c r="D54" s="2"/>
      <c r="E54" s="2"/>
      <c r="F54" s="2"/>
    </row>
    <row r="55" customFormat="false" ht="15.75" hidden="false" customHeight="true" outlineLevel="0" collapsed="false">
      <c r="A55" s="2"/>
      <c r="B55" s="2"/>
      <c r="C55" s="2"/>
      <c r="D55" s="2"/>
      <c r="E55" s="2"/>
      <c r="F55" s="2"/>
    </row>
    <row r="56" customFormat="false" ht="15.75" hidden="false" customHeight="true" outlineLevel="0" collapsed="false">
      <c r="A56" s="2"/>
      <c r="B56" s="2"/>
      <c r="C56" s="2"/>
      <c r="D56" s="2"/>
      <c r="E56" s="2"/>
      <c r="F56" s="2"/>
    </row>
    <row r="57" customFormat="false" ht="15.75" hidden="false" customHeight="true" outlineLevel="0" collapsed="false">
      <c r="A57" s="2"/>
      <c r="B57" s="2"/>
      <c r="C57" s="2"/>
      <c r="D57" s="2"/>
      <c r="E57" s="2"/>
      <c r="F57" s="2"/>
    </row>
    <row r="58" customFormat="false" ht="15.75" hidden="false" customHeight="true" outlineLevel="0" collapsed="false">
      <c r="A58" s="2"/>
      <c r="B58" s="2"/>
      <c r="C58" s="2"/>
      <c r="D58" s="2"/>
      <c r="E58" s="2"/>
      <c r="F58" s="2"/>
    </row>
    <row r="59" customFormat="false" ht="15.75" hidden="false" customHeight="true" outlineLevel="0" collapsed="false">
      <c r="A59" s="2"/>
      <c r="B59" s="2"/>
      <c r="C59" s="2"/>
      <c r="D59" s="2"/>
      <c r="E59" s="2"/>
      <c r="F59" s="2"/>
    </row>
    <row r="60" customFormat="false" ht="15.75" hidden="false" customHeight="true" outlineLevel="0" collapsed="false">
      <c r="A60" s="2"/>
      <c r="B60" s="2"/>
      <c r="C60" s="2"/>
      <c r="D60" s="2"/>
      <c r="E60" s="2"/>
      <c r="F60" s="2"/>
    </row>
    <row r="61" customFormat="false" ht="15.75" hidden="false" customHeight="true" outlineLevel="0" collapsed="false">
      <c r="A61" s="2"/>
      <c r="B61" s="2"/>
      <c r="C61" s="2"/>
      <c r="D61" s="2"/>
      <c r="E61" s="2"/>
      <c r="F61" s="2"/>
    </row>
    <row r="62" customFormat="false" ht="15.75" hidden="false" customHeight="true" outlineLevel="0" collapsed="false">
      <c r="A62" s="2"/>
      <c r="B62" s="2"/>
      <c r="C62" s="2"/>
      <c r="D62" s="2"/>
      <c r="E62" s="2"/>
      <c r="F62" s="2"/>
    </row>
    <row r="63" customFormat="false" ht="15.75" hidden="false" customHeight="true" outlineLevel="0" collapsed="false">
      <c r="A63" s="2"/>
      <c r="B63" s="2"/>
      <c r="C63" s="2"/>
      <c r="D63" s="2"/>
      <c r="E63" s="2"/>
      <c r="F63" s="2"/>
    </row>
    <row r="64" customFormat="false" ht="15.75" hidden="false" customHeight="true" outlineLevel="0" collapsed="false">
      <c r="A64" s="2"/>
      <c r="B64" s="2"/>
      <c r="C64" s="2"/>
      <c r="D64" s="2"/>
      <c r="E64" s="2"/>
      <c r="F64" s="2"/>
    </row>
    <row r="65" customFormat="false" ht="15.75" hidden="false" customHeight="true" outlineLevel="0" collapsed="false">
      <c r="A65" s="2"/>
      <c r="B65" s="2"/>
      <c r="C65" s="2"/>
      <c r="D65" s="2"/>
      <c r="E65" s="2"/>
      <c r="F65" s="2"/>
    </row>
    <row r="66" customFormat="false" ht="15.75" hidden="false" customHeight="true" outlineLevel="0" collapsed="false">
      <c r="A66" s="2"/>
      <c r="B66" s="2"/>
      <c r="C66" s="2"/>
      <c r="D66" s="2"/>
      <c r="E66" s="2"/>
      <c r="F66" s="2"/>
    </row>
    <row r="67" customFormat="false" ht="15.75" hidden="false" customHeight="true" outlineLevel="0" collapsed="false">
      <c r="A67" s="2"/>
      <c r="B67" s="2"/>
      <c r="C67" s="2"/>
      <c r="D67" s="2"/>
      <c r="E67" s="2"/>
      <c r="F67" s="2"/>
    </row>
    <row r="68" customFormat="false" ht="15.75" hidden="false" customHeight="true" outlineLevel="0" collapsed="false">
      <c r="A68" s="2"/>
      <c r="B68" s="2"/>
      <c r="C68" s="2"/>
      <c r="D68" s="2"/>
      <c r="E68" s="2"/>
      <c r="F68" s="2"/>
    </row>
    <row r="69" customFormat="false" ht="15.75" hidden="false" customHeight="true" outlineLevel="0" collapsed="false">
      <c r="A69" s="2"/>
      <c r="B69" s="2"/>
      <c r="C69" s="2"/>
      <c r="D69" s="2"/>
      <c r="E69" s="2"/>
      <c r="F69" s="2"/>
    </row>
    <row r="70" customFormat="false" ht="15.75" hidden="false" customHeight="true" outlineLevel="0" collapsed="false">
      <c r="A70" s="2"/>
      <c r="B70" s="2"/>
      <c r="C70" s="2"/>
      <c r="D70" s="2"/>
      <c r="E70" s="2"/>
      <c r="F70" s="2"/>
    </row>
    <row r="71" customFormat="false" ht="15.75" hidden="false" customHeight="true" outlineLevel="0" collapsed="false">
      <c r="A71" s="2"/>
      <c r="B71" s="2"/>
      <c r="C71" s="2"/>
      <c r="D71" s="2"/>
      <c r="E71" s="2"/>
      <c r="F71" s="2"/>
    </row>
    <row r="72" customFormat="false" ht="15.75" hidden="false" customHeight="true" outlineLevel="0" collapsed="false">
      <c r="A72" s="2"/>
      <c r="B72" s="2"/>
      <c r="C72" s="2"/>
      <c r="D72" s="2"/>
      <c r="E72" s="2"/>
      <c r="F72" s="2"/>
    </row>
    <row r="73" customFormat="false" ht="15.75" hidden="false" customHeight="true" outlineLevel="0" collapsed="false">
      <c r="A73" s="2"/>
      <c r="B73" s="2"/>
      <c r="C73" s="2"/>
      <c r="D73" s="2"/>
      <c r="E73" s="2"/>
      <c r="F73" s="2"/>
    </row>
    <row r="74" customFormat="false" ht="15.75" hidden="false" customHeight="true" outlineLevel="0" collapsed="false">
      <c r="A74" s="2"/>
      <c r="B74" s="2"/>
      <c r="C74" s="2"/>
      <c r="D74" s="2"/>
      <c r="E74" s="2"/>
      <c r="F74" s="2"/>
    </row>
    <row r="75" customFormat="false" ht="15.75" hidden="false" customHeight="true" outlineLevel="0" collapsed="false">
      <c r="A75" s="2"/>
      <c r="B75" s="2"/>
      <c r="C75" s="2"/>
      <c r="D75" s="2"/>
      <c r="E75" s="2"/>
      <c r="F75" s="2"/>
    </row>
    <row r="76" customFormat="false" ht="15.75" hidden="false" customHeight="true" outlineLevel="0" collapsed="false">
      <c r="A76" s="2"/>
      <c r="B76" s="2"/>
      <c r="C76" s="2"/>
      <c r="D76" s="2"/>
      <c r="E76" s="2"/>
      <c r="F76" s="2"/>
    </row>
    <row r="77" customFormat="false" ht="15.75" hidden="false" customHeight="true" outlineLevel="0" collapsed="false">
      <c r="A77" s="2"/>
      <c r="B77" s="2"/>
      <c r="C77" s="2"/>
      <c r="D77" s="2"/>
      <c r="E77" s="2"/>
      <c r="F77" s="2"/>
    </row>
    <row r="78" customFormat="false" ht="15.75" hidden="false" customHeight="true" outlineLevel="0" collapsed="false">
      <c r="A78" s="2"/>
      <c r="B78" s="2"/>
      <c r="C78" s="2"/>
      <c r="D78" s="2"/>
      <c r="E78" s="2"/>
      <c r="F78" s="2"/>
    </row>
    <row r="79" customFormat="false" ht="15.75" hidden="false" customHeight="true" outlineLevel="0" collapsed="false">
      <c r="A79" s="2"/>
      <c r="B79" s="2"/>
      <c r="C79" s="2"/>
      <c r="D79" s="2"/>
      <c r="E79" s="2"/>
      <c r="F79" s="2"/>
    </row>
    <row r="80" customFormat="false" ht="15.75" hidden="false" customHeight="true" outlineLevel="0" collapsed="false">
      <c r="A80" s="2"/>
      <c r="B80" s="2"/>
      <c r="C80" s="2"/>
      <c r="D80" s="2"/>
      <c r="E80" s="2"/>
      <c r="F80" s="2"/>
    </row>
    <row r="81" customFormat="false" ht="15.75" hidden="false" customHeight="true" outlineLevel="0" collapsed="false">
      <c r="A81" s="2"/>
      <c r="B81" s="2"/>
      <c r="C81" s="2"/>
      <c r="D81" s="2"/>
      <c r="E81" s="2"/>
      <c r="F81" s="2"/>
    </row>
    <row r="82" customFormat="false" ht="15.75" hidden="false" customHeight="true" outlineLevel="0" collapsed="false">
      <c r="A82" s="2"/>
      <c r="B82" s="2"/>
      <c r="C82" s="2"/>
      <c r="D82" s="2"/>
      <c r="E82" s="2"/>
      <c r="F82" s="2"/>
    </row>
    <row r="83" customFormat="false" ht="15.75" hidden="false" customHeight="true" outlineLevel="0" collapsed="false">
      <c r="A83" s="2"/>
      <c r="B83" s="2"/>
      <c r="C83" s="2"/>
      <c r="D83" s="2"/>
      <c r="E83" s="2"/>
      <c r="F83" s="2"/>
    </row>
    <row r="84" customFormat="false" ht="15.75" hidden="false" customHeight="true" outlineLevel="0" collapsed="false">
      <c r="A84" s="2"/>
      <c r="B84" s="2"/>
      <c r="C84" s="2"/>
      <c r="D84" s="2"/>
      <c r="E84" s="2"/>
      <c r="F84" s="2"/>
    </row>
    <row r="85" customFormat="false" ht="15.75" hidden="false" customHeight="true" outlineLevel="0" collapsed="false">
      <c r="A85" s="2"/>
      <c r="B85" s="2"/>
      <c r="C85" s="2"/>
      <c r="D85" s="2"/>
      <c r="E85" s="2"/>
      <c r="F85" s="2"/>
    </row>
    <row r="86" customFormat="false" ht="15.75" hidden="false" customHeight="true" outlineLevel="0" collapsed="false">
      <c r="A86" s="2"/>
      <c r="B86" s="2"/>
      <c r="C86" s="2"/>
      <c r="D86" s="2"/>
      <c r="E86" s="2"/>
      <c r="F86" s="2"/>
    </row>
    <row r="87" customFormat="false" ht="15.75" hidden="false" customHeight="true" outlineLevel="0" collapsed="false">
      <c r="A87" s="2"/>
      <c r="B87" s="2"/>
      <c r="C87" s="2"/>
      <c r="D87" s="2"/>
      <c r="E87" s="2"/>
      <c r="F87" s="2"/>
    </row>
    <row r="88" customFormat="false" ht="15.75" hidden="false" customHeight="true" outlineLevel="0" collapsed="false">
      <c r="A88" s="2"/>
      <c r="B88" s="2"/>
      <c r="C88" s="2"/>
      <c r="D88" s="2"/>
      <c r="E88" s="2"/>
      <c r="F88" s="2"/>
    </row>
    <row r="89" customFormat="false" ht="15.75" hidden="false" customHeight="true" outlineLevel="0" collapsed="false">
      <c r="A89" s="2"/>
      <c r="B89" s="2"/>
      <c r="C89" s="2"/>
      <c r="D89" s="2"/>
      <c r="E89" s="2"/>
      <c r="F89" s="2"/>
    </row>
    <row r="90" customFormat="false" ht="15.75" hidden="false" customHeight="true" outlineLevel="0" collapsed="false">
      <c r="A90" s="2"/>
      <c r="B90" s="2"/>
      <c r="C90" s="2"/>
      <c r="D90" s="2"/>
      <c r="E90" s="2"/>
      <c r="F90" s="2"/>
    </row>
    <row r="91" customFormat="false" ht="15.75" hidden="false" customHeight="true" outlineLevel="0" collapsed="false">
      <c r="A91" s="2"/>
      <c r="B91" s="2"/>
      <c r="C91" s="2"/>
      <c r="D91" s="2"/>
      <c r="E91" s="2"/>
      <c r="F91" s="2"/>
    </row>
    <row r="92" customFormat="false" ht="15.75" hidden="false" customHeight="true" outlineLevel="0" collapsed="false">
      <c r="A92" s="2"/>
      <c r="B92" s="2"/>
      <c r="C92" s="2"/>
      <c r="D92" s="2"/>
      <c r="E92" s="2"/>
      <c r="F92" s="2"/>
    </row>
    <row r="93" customFormat="false" ht="15.75" hidden="false" customHeight="true" outlineLevel="0" collapsed="false">
      <c r="A93" s="2"/>
      <c r="B93" s="2"/>
      <c r="C93" s="2"/>
      <c r="D93" s="2"/>
      <c r="E93" s="2"/>
      <c r="F93" s="2"/>
    </row>
    <row r="94" customFormat="false" ht="15.75" hidden="false" customHeight="true" outlineLevel="0" collapsed="false">
      <c r="A94" s="2"/>
      <c r="B94" s="2"/>
      <c r="C94" s="2"/>
      <c r="D94" s="2"/>
      <c r="E94" s="2"/>
      <c r="F94" s="2"/>
    </row>
    <row r="95" customFormat="false" ht="15.75" hidden="false" customHeight="true" outlineLevel="0" collapsed="false">
      <c r="A95" s="2"/>
      <c r="B95" s="2"/>
      <c r="C95" s="2"/>
      <c r="D95" s="2"/>
      <c r="E95" s="2"/>
      <c r="F95" s="2"/>
    </row>
    <row r="96" customFormat="false" ht="15.75" hidden="false" customHeight="true" outlineLevel="0" collapsed="false">
      <c r="A96" s="2"/>
      <c r="B96" s="2"/>
      <c r="C96" s="2"/>
      <c r="D96" s="2"/>
      <c r="E96" s="2"/>
      <c r="F96" s="2"/>
    </row>
    <row r="97" customFormat="false" ht="15.75" hidden="false" customHeight="true" outlineLevel="0" collapsed="false">
      <c r="A97" s="2"/>
      <c r="B97" s="2"/>
      <c r="C97" s="2"/>
      <c r="D97" s="2"/>
      <c r="E97" s="2"/>
      <c r="F97" s="2"/>
    </row>
    <row r="98" customFormat="false" ht="15.75" hidden="false" customHeight="true" outlineLevel="0" collapsed="false">
      <c r="A98" s="2"/>
      <c r="B98" s="2"/>
      <c r="C98" s="2"/>
      <c r="D98" s="2"/>
      <c r="E98" s="2"/>
      <c r="F98" s="2"/>
    </row>
    <row r="99" customFormat="false" ht="15.75" hidden="false" customHeight="true" outlineLevel="0" collapsed="false">
      <c r="A99" s="2"/>
      <c r="B99" s="2"/>
      <c r="C99" s="2"/>
      <c r="D99" s="2"/>
      <c r="E99" s="2"/>
      <c r="F99" s="2"/>
    </row>
    <row r="100" customFormat="false" ht="15.75" hidden="false" customHeight="true" outlineLevel="0" collapsed="false">
      <c r="A100" s="2"/>
      <c r="B100" s="2"/>
      <c r="C100" s="2"/>
      <c r="D100" s="2"/>
      <c r="E100" s="2"/>
      <c r="F100" s="2"/>
    </row>
    <row r="101" customFormat="false" ht="15.75" hidden="false" customHeight="true" outlineLevel="0" collapsed="false">
      <c r="A101" s="2"/>
      <c r="B101" s="2"/>
      <c r="C101" s="2"/>
      <c r="D101" s="2"/>
      <c r="E101" s="2"/>
      <c r="F101" s="2"/>
    </row>
    <row r="102" customFormat="false" ht="15.75" hidden="false" customHeight="true" outlineLevel="0" collapsed="false">
      <c r="A102" s="2"/>
      <c r="B102" s="2"/>
      <c r="C102" s="2"/>
      <c r="D102" s="2"/>
      <c r="E102" s="2"/>
      <c r="F102" s="2"/>
    </row>
    <row r="103" customFormat="false" ht="15.75" hidden="false" customHeight="true" outlineLevel="0" collapsed="false">
      <c r="A103" s="2"/>
      <c r="B103" s="2"/>
      <c r="C103" s="2"/>
      <c r="D103" s="2"/>
      <c r="E103" s="2"/>
      <c r="F103" s="2"/>
    </row>
    <row r="104" customFormat="false" ht="15.75" hidden="false" customHeight="true" outlineLevel="0" collapsed="false">
      <c r="A104" s="2"/>
      <c r="B104" s="2"/>
      <c r="C104" s="2"/>
      <c r="D104" s="2"/>
      <c r="E104" s="2"/>
      <c r="F104" s="2"/>
    </row>
    <row r="105" customFormat="false" ht="15.75" hidden="false" customHeight="true" outlineLevel="0" collapsed="false">
      <c r="A105" s="2"/>
      <c r="B105" s="2"/>
      <c r="C105" s="2"/>
      <c r="D105" s="2"/>
      <c r="E105" s="2"/>
      <c r="F105" s="2"/>
    </row>
    <row r="106" customFormat="false" ht="15.75" hidden="false" customHeight="true" outlineLevel="0" collapsed="false">
      <c r="A106" s="2"/>
      <c r="B106" s="2"/>
      <c r="C106" s="2"/>
      <c r="D106" s="2"/>
      <c r="E106" s="2"/>
      <c r="F106" s="2"/>
    </row>
    <row r="107" customFormat="false" ht="15.75" hidden="false" customHeight="true" outlineLevel="0" collapsed="false">
      <c r="A107" s="2"/>
      <c r="B107" s="2"/>
      <c r="C107" s="2"/>
      <c r="D107" s="2"/>
      <c r="E107" s="2"/>
      <c r="F107" s="2"/>
    </row>
    <row r="108" customFormat="false" ht="15.75" hidden="false" customHeight="true" outlineLevel="0" collapsed="false">
      <c r="A108" s="2"/>
      <c r="B108" s="2"/>
      <c r="C108" s="2"/>
      <c r="D108" s="2"/>
      <c r="E108" s="2"/>
      <c r="F108" s="2"/>
    </row>
    <row r="109" customFormat="false" ht="15.75" hidden="false" customHeight="true" outlineLevel="0" collapsed="false">
      <c r="A109" s="2"/>
      <c r="B109" s="2"/>
      <c r="C109" s="2"/>
      <c r="D109" s="2"/>
      <c r="E109" s="2"/>
      <c r="F109" s="2"/>
    </row>
    <row r="110" customFormat="false" ht="15.75" hidden="false" customHeight="true" outlineLevel="0" collapsed="false">
      <c r="A110" s="2"/>
      <c r="B110" s="2"/>
      <c r="C110" s="2"/>
      <c r="D110" s="2"/>
      <c r="E110" s="2"/>
      <c r="F110" s="2"/>
    </row>
    <row r="111" customFormat="false" ht="15.75" hidden="false" customHeight="true" outlineLevel="0" collapsed="false">
      <c r="A111" s="2"/>
      <c r="B111" s="2"/>
      <c r="C111" s="2"/>
      <c r="D111" s="2"/>
      <c r="E111" s="2"/>
      <c r="F111" s="2"/>
    </row>
    <row r="112" customFormat="false" ht="15.75" hidden="false" customHeight="true" outlineLevel="0" collapsed="false">
      <c r="A112" s="2"/>
      <c r="B112" s="2"/>
      <c r="C112" s="2"/>
      <c r="D112" s="2"/>
      <c r="E112" s="2"/>
      <c r="F112" s="2"/>
    </row>
    <row r="113" customFormat="false" ht="15.75" hidden="false" customHeight="true" outlineLevel="0" collapsed="false">
      <c r="A113" s="2"/>
      <c r="B113" s="2"/>
      <c r="C113" s="2"/>
      <c r="D113" s="2"/>
      <c r="E113" s="2"/>
      <c r="F113" s="2"/>
    </row>
    <row r="114" customFormat="false" ht="15.75" hidden="false" customHeight="true" outlineLevel="0" collapsed="false">
      <c r="A114" s="2"/>
      <c r="B114" s="2"/>
      <c r="C114" s="2"/>
      <c r="D114" s="2"/>
      <c r="E114" s="2"/>
      <c r="F114" s="2"/>
    </row>
    <row r="115" customFormat="false" ht="15.75" hidden="false" customHeight="true" outlineLevel="0" collapsed="false">
      <c r="A115" s="2"/>
      <c r="B115" s="2"/>
      <c r="C115" s="2"/>
      <c r="D115" s="2"/>
      <c r="E115" s="2"/>
      <c r="F115" s="2"/>
    </row>
    <row r="116" customFormat="false" ht="15.75" hidden="false" customHeight="true" outlineLevel="0" collapsed="false">
      <c r="A116" s="2"/>
      <c r="B116" s="2"/>
      <c r="C116" s="2"/>
      <c r="D116" s="2"/>
      <c r="E116" s="2"/>
      <c r="F116" s="2"/>
    </row>
    <row r="117" customFormat="false" ht="15.75" hidden="false" customHeight="true" outlineLevel="0" collapsed="false">
      <c r="A117" s="2"/>
      <c r="B117" s="2"/>
      <c r="C117" s="2"/>
      <c r="D117" s="2"/>
      <c r="E117" s="2"/>
      <c r="F117" s="2"/>
    </row>
    <row r="118" customFormat="false" ht="15.75" hidden="false" customHeight="true" outlineLevel="0" collapsed="false">
      <c r="A118" s="2"/>
      <c r="B118" s="2"/>
      <c r="C118" s="2"/>
      <c r="D118" s="2"/>
      <c r="E118" s="2"/>
      <c r="F118" s="2"/>
    </row>
    <row r="119" customFormat="false" ht="15.75" hidden="false" customHeight="true" outlineLevel="0" collapsed="false">
      <c r="A119" s="2"/>
      <c r="B119" s="2"/>
      <c r="C119" s="2"/>
      <c r="D119" s="2"/>
      <c r="E119" s="2"/>
      <c r="F119" s="2"/>
    </row>
    <row r="120" customFormat="false" ht="15.75" hidden="false" customHeight="true" outlineLevel="0" collapsed="false">
      <c r="A120" s="2"/>
      <c r="B120" s="2"/>
      <c r="C120" s="2"/>
      <c r="D120" s="2"/>
      <c r="E120" s="2"/>
      <c r="F120" s="2"/>
    </row>
    <row r="121" customFormat="false" ht="15.75" hidden="false" customHeight="true" outlineLevel="0" collapsed="false">
      <c r="A121" s="2"/>
      <c r="B121" s="2"/>
      <c r="C121" s="2"/>
      <c r="D121" s="2"/>
      <c r="E121" s="2"/>
      <c r="F121" s="2"/>
    </row>
    <row r="122" customFormat="false" ht="15.75" hidden="false" customHeight="true" outlineLevel="0" collapsed="false">
      <c r="A122" s="2"/>
      <c r="B122" s="2"/>
      <c r="C122" s="2"/>
      <c r="D122" s="2"/>
      <c r="E122" s="2"/>
      <c r="F122" s="2"/>
    </row>
    <row r="123" customFormat="false" ht="15.75" hidden="false" customHeight="true" outlineLevel="0" collapsed="false">
      <c r="A123" s="2"/>
      <c r="B123" s="2"/>
      <c r="C123" s="2"/>
      <c r="D123" s="2"/>
      <c r="E123" s="2"/>
      <c r="F123" s="2"/>
    </row>
    <row r="124" customFormat="false" ht="15.75" hidden="false" customHeight="true" outlineLevel="0" collapsed="false">
      <c r="A124" s="2"/>
      <c r="B124" s="2"/>
      <c r="C124" s="2"/>
      <c r="D124" s="2"/>
      <c r="E124" s="2"/>
      <c r="F124" s="2"/>
    </row>
    <row r="125" customFormat="false" ht="15.75" hidden="false" customHeight="true" outlineLevel="0" collapsed="false">
      <c r="A125" s="2"/>
      <c r="B125" s="2"/>
      <c r="C125" s="2"/>
      <c r="D125" s="2"/>
      <c r="E125" s="2"/>
      <c r="F125" s="2"/>
    </row>
    <row r="126" customFormat="false" ht="15.75" hidden="false" customHeight="true" outlineLevel="0" collapsed="false">
      <c r="A126" s="2"/>
      <c r="B126" s="2"/>
      <c r="C126" s="2"/>
      <c r="D126" s="2"/>
      <c r="E126" s="2"/>
      <c r="F126" s="2"/>
    </row>
    <row r="127" customFormat="false" ht="15.75" hidden="false" customHeight="true" outlineLevel="0" collapsed="false">
      <c r="A127" s="2"/>
      <c r="B127" s="2"/>
      <c r="C127" s="2"/>
      <c r="D127" s="2"/>
      <c r="E127" s="2"/>
      <c r="F127" s="2"/>
    </row>
    <row r="128" customFormat="false" ht="15.75" hidden="false" customHeight="true" outlineLevel="0" collapsed="false">
      <c r="A128" s="2"/>
      <c r="B128" s="2"/>
      <c r="C128" s="2"/>
      <c r="D128" s="2"/>
      <c r="E128" s="2"/>
      <c r="F128" s="2"/>
    </row>
    <row r="129" customFormat="false" ht="15.75" hidden="false" customHeight="true" outlineLevel="0" collapsed="false">
      <c r="A129" s="2"/>
      <c r="B129" s="2"/>
      <c r="C129" s="2"/>
      <c r="D129" s="2"/>
      <c r="E129" s="2"/>
      <c r="F129" s="2"/>
    </row>
    <row r="130" customFormat="false" ht="15.75" hidden="false" customHeight="true" outlineLevel="0" collapsed="false">
      <c r="A130" s="2"/>
      <c r="B130" s="2"/>
      <c r="C130" s="2"/>
      <c r="D130" s="2"/>
      <c r="E130" s="2"/>
      <c r="F130" s="2"/>
    </row>
    <row r="131" customFormat="false" ht="15.75" hidden="false" customHeight="true" outlineLevel="0" collapsed="false">
      <c r="A131" s="2"/>
      <c r="B131" s="2"/>
      <c r="C131" s="2"/>
      <c r="D131" s="2"/>
      <c r="E131" s="2"/>
      <c r="F131" s="2"/>
    </row>
    <row r="132" customFormat="false" ht="15.75" hidden="false" customHeight="true" outlineLevel="0" collapsed="false">
      <c r="A132" s="2"/>
      <c r="B132" s="2"/>
      <c r="C132" s="2"/>
      <c r="D132" s="2"/>
      <c r="E132" s="2"/>
      <c r="F132" s="2"/>
    </row>
    <row r="133" customFormat="false" ht="15.75" hidden="false" customHeight="true" outlineLevel="0" collapsed="false">
      <c r="A133" s="2"/>
      <c r="B133" s="2"/>
      <c r="C133" s="2"/>
      <c r="D133" s="2"/>
      <c r="E133" s="2"/>
      <c r="F133" s="2"/>
    </row>
    <row r="134" customFormat="false" ht="15.75" hidden="false" customHeight="true" outlineLevel="0" collapsed="false">
      <c r="A134" s="2"/>
      <c r="B134" s="2"/>
      <c r="C134" s="2"/>
      <c r="D134" s="2"/>
      <c r="E134" s="2"/>
      <c r="F134" s="2"/>
    </row>
    <row r="135" customFormat="false" ht="15.75" hidden="false" customHeight="true" outlineLevel="0" collapsed="false">
      <c r="A135" s="2"/>
      <c r="B135" s="2"/>
      <c r="C135" s="2"/>
      <c r="D135" s="2"/>
      <c r="E135" s="2"/>
      <c r="F135" s="2"/>
    </row>
    <row r="136" customFormat="false" ht="15.75" hidden="false" customHeight="true" outlineLevel="0" collapsed="false">
      <c r="A136" s="2"/>
      <c r="B136" s="2"/>
      <c r="C136" s="2"/>
      <c r="D136" s="2"/>
      <c r="E136" s="2"/>
      <c r="F136" s="2"/>
    </row>
    <row r="137" customFormat="false" ht="15.75" hidden="false" customHeight="true" outlineLevel="0" collapsed="false">
      <c r="A137" s="2"/>
      <c r="B137" s="2"/>
      <c r="C137" s="2"/>
      <c r="D137" s="2"/>
      <c r="E137" s="2"/>
      <c r="F137" s="2"/>
    </row>
    <row r="138" customFormat="false" ht="15.75" hidden="false" customHeight="true" outlineLevel="0" collapsed="false">
      <c r="A138" s="2"/>
      <c r="B138" s="2"/>
      <c r="C138" s="2"/>
      <c r="D138" s="2"/>
      <c r="E138" s="2"/>
      <c r="F138" s="2"/>
    </row>
    <row r="139" customFormat="false" ht="15.75" hidden="false" customHeight="true" outlineLevel="0" collapsed="false">
      <c r="A139" s="2"/>
      <c r="B139" s="2"/>
      <c r="C139" s="2"/>
      <c r="D139" s="2"/>
      <c r="E139" s="2"/>
      <c r="F139" s="2"/>
    </row>
    <row r="140" customFormat="false" ht="15.75" hidden="false" customHeight="true" outlineLevel="0" collapsed="false">
      <c r="A140" s="2"/>
      <c r="B140" s="2"/>
      <c r="C140" s="2"/>
      <c r="D140" s="2"/>
      <c r="E140" s="2"/>
      <c r="F140" s="2"/>
    </row>
    <row r="141" customFormat="false" ht="15.75" hidden="false" customHeight="true" outlineLevel="0" collapsed="false">
      <c r="A141" s="2"/>
      <c r="B141" s="2"/>
      <c r="C141" s="2"/>
      <c r="D141" s="2"/>
      <c r="E141" s="2"/>
      <c r="F141" s="2"/>
    </row>
    <row r="142" customFormat="false" ht="15.75" hidden="false" customHeight="true" outlineLevel="0" collapsed="false">
      <c r="A142" s="2"/>
      <c r="B142" s="2"/>
      <c r="C142" s="2"/>
      <c r="D142" s="2"/>
      <c r="E142" s="2"/>
      <c r="F142" s="2"/>
    </row>
    <row r="143" customFormat="false" ht="15.75" hidden="false" customHeight="true" outlineLevel="0" collapsed="false">
      <c r="A143" s="2"/>
      <c r="B143" s="2"/>
      <c r="C143" s="2"/>
      <c r="D143" s="2"/>
      <c r="E143" s="2"/>
      <c r="F143" s="2"/>
    </row>
    <row r="144" customFormat="false" ht="15.75" hidden="false" customHeight="true" outlineLevel="0" collapsed="false">
      <c r="A144" s="2"/>
      <c r="B144" s="2"/>
      <c r="C144" s="2"/>
      <c r="D144" s="2"/>
      <c r="E144" s="2"/>
      <c r="F144" s="2"/>
    </row>
    <row r="145" customFormat="false" ht="15.75" hidden="false" customHeight="true" outlineLevel="0" collapsed="false">
      <c r="A145" s="2"/>
      <c r="B145" s="2"/>
      <c r="C145" s="2"/>
      <c r="D145" s="2"/>
      <c r="E145" s="2"/>
      <c r="F145" s="2"/>
    </row>
    <row r="146" customFormat="false" ht="15.75" hidden="false" customHeight="true" outlineLevel="0" collapsed="false">
      <c r="A146" s="2"/>
      <c r="B146" s="2"/>
      <c r="C146" s="2"/>
      <c r="D146" s="2"/>
      <c r="E146" s="2"/>
      <c r="F146" s="2"/>
    </row>
    <row r="147" customFormat="false" ht="15.75" hidden="false" customHeight="true" outlineLevel="0" collapsed="false">
      <c r="A147" s="2"/>
      <c r="B147" s="2"/>
      <c r="C147" s="2"/>
      <c r="D147" s="2"/>
      <c r="E147" s="2"/>
      <c r="F147" s="2"/>
    </row>
    <row r="148" customFormat="false" ht="15.75" hidden="false" customHeight="true" outlineLevel="0" collapsed="false">
      <c r="A148" s="2"/>
      <c r="B148" s="2"/>
      <c r="C148" s="2"/>
      <c r="D148" s="2"/>
      <c r="E148" s="2"/>
      <c r="F148" s="2"/>
    </row>
    <row r="149" customFormat="false" ht="15.75" hidden="false" customHeight="true" outlineLevel="0" collapsed="false">
      <c r="A149" s="2"/>
      <c r="B149" s="2"/>
      <c r="C149" s="2"/>
      <c r="D149" s="2"/>
      <c r="E149" s="2"/>
      <c r="F149" s="2"/>
    </row>
    <row r="150" customFormat="false" ht="15.75" hidden="false" customHeight="true" outlineLevel="0" collapsed="false">
      <c r="A150" s="2"/>
      <c r="B150" s="2"/>
      <c r="C150" s="2"/>
      <c r="D150" s="2"/>
      <c r="E150" s="2"/>
      <c r="F150" s="2"/>
    </row>
    <row r="151" customFormat="false" ht="15.75" hidden="false" customHeight="true" outlineLevel="0" collapsed="false">
      <c r="A151" s="2"/>
      <c r="B151" s="2"/>
      <c r="C151" s="2"/>
      <c r="D151" s="2"/>
      <c r="E151" s="2"/>
      <c r="F151" s="2"/>
    </row>
    <row r="152" customFormat="false" ht="15.75" hidden="false" customHeight="true" outlineLevel="0" collapsed="false">
      <c r="A152" s="2"/>
      <c r="B152" s="2"/>
      <c r="C152" s="2"/>
      <c r="D152" s="2"/>
      <c r="E152" s="2"/>
      <c r="F152" s="2"/>
    </row>
    <row r="153" customFormat="false" ht="15.75" hidden="false" customHeight="true" outlineLevel="0" collapsed="false">
      <c r="A153" s="2"/>
      <c r="B153" s="2"/>
      <c r="C153" s="2"/>
      <c r="D153" s="2"/>
      <c r="E153" s="2"/>
      <c r="F153" s="2"/>
    </row>
    <row r="154" customFormat="false" ht="15.75" hidden="false" customHeight="true" outlineLevel="0" collapsed="false">
      <c r="A154" s="2"/>
      <c r="B154" s="2"/>
      <c r="C154" s="2"/>
      <c r="D154" s="2"/>
      <c r="E154" s="2"/>
      <c r="F154" s="2"/>
    </row>
    <row r="155" customFormat="false" ht="15.75" hidden="false" customHeight="true" outlineLevel="0" collapsed="false">
      <c r="A155" s="2"/>
      <c r="B155" s="2"/>
      <c r="C155" s="2"/>
      <c r="D155" s="2"/>
      <c r="E155" s="2"/>
      <c r="F155" s="2"/>
    </row>
    <row r="156" customFormat="false" ht="15.75" hidden="false" customHeight="true" outlineLevel="0" collapsed="false">
      <c r="A156" s="2"/>
      <c r="B156" s="2"/>
      <c r="C156" s="2"/>
      <c r="D156" s="2"/>
      <c r="E156" s="2"/>
      <c r="F156" s="2"/>
    </row>
    <row r="157" customFormat="false" ht="15.75" hidden="false" customHeight="true" outlineLevel="0" collapsed="false">
      <c r="A157" s="2"/>
      <c r="B157" s="2"/>
      <c r="C157" s="2"/>
      <c r="D157" s="2"/>
      <c r="E157" s="2"/>
      <c r="F157" s="2"/>
    </row>
    <row r="158" customFormat="false" ht="15.75" hidden="false" customHeight="true" outlineLevel="0" collapsed="false">
      <c r="A158" s="2"/>
      <c r="B158" s="2"/>
      <c r="C158" s="2"/>
      <c r="D158" s="2"/>
      <c r="E158" s="2"/>
      <c r="F158" s="2"/>
    </row>
    <row r="159" customFormat="false" ht="15.75" hidden="false" customHeight="true" outlineLevel="0" collapsed="false">
      <c r="A159" s="2"/>
      <c r="B159" s="2"/>
      <c r="C159" s="2"/>
      <c r="D159" s="2"/>
      <c r="E159" s="2"/>
      <c r="F159" s="2"/>
    </row>
    <row r="160" customFormat="false" ht="15.75" hidden="false" customHeight="true" outlineLevel="0" collapsed="false">
      <c r="A160" s="2"/>
      <c r="B160" s="2"/>
      <c r="C160" s="2"/>
      <c r="D160" s="2"/>
      <c r="E160" s="2"/>
      <c r="F160" s="2"/>
    </row>
    <row r="161" customFormat="false" ht="15.75" hidden="false" customHeight="true" outlineLevel="0" collapsed="false">
      <c r="A161" s="2"/>
      <c r="B161" s="2"/>
      <c r="C161" s="2"/>
      <c r="D161" s="2"/>
      <c r="E161" s="2"/>
      <c r="F161" s="2"/>
    </row>
    <row r="162" customFormat="false" ht="15.75" hidden="false" customHeight="true" outlineLevel="0" collapsed="false">
      <c r="A162" s="2"/>
      <c r="B162" s="2"/>
      <c r="C162" s="2"/>
      <c r="D162" s="2"/>
      <c r="E162" s="2"/>
      <c r="F162" s="2"/>
    </row>
    <row r="163" customFormat="false" ht="15.75" hidden="false" customHeight="true" outlineLevel="0" collapsed="false">
      <c r="A163" s="2"/>
      <c r="B163" s="2"/>
      <c r="C163" s="2"/>
      <c r="D163" s="2"/>
      <c r="E163" s="2"/>
      <c r="F163" s="2"/>
    </row>
    <row r="164" customFormat="false" ht="15.75" hidden="false" customHeight="true" outlineLevel="0" collapsed="false">
      <c r="A164" s="2"/>
      <c r="B164" s="2"/>
      <c r="C164" s="2"/>
      <c r="D164" s="2"/>
      <c r="E164" s="2"/>
      <c r="F164" s="2"/>
    </row>
    <row r="165" customFormat="false" ht="15.75" hidden="false" customHeight="true" outlineLevel="0" collapsed="false">
      <c r="A165" s="2"/>
      <c r="B165" s="2"/>
      <c r="C165" s="2"/>
      <c r="D165" s="2"/>
      <c r="E165" s="2"/>
      <c r="F165" s="2"/>
    </row>
    <row r="166" customFormat="false" ht="15.75" hidden="false" customHeight="true" outlineLevel="0" collapsed="false">
      <c r="A166" s="2"/>
      <c r="B166" s="2"/>
      <c r="C166" s="2"/>
      <c r="D166" s="2"/>
      <c r="E166" s="2"/>
      <c r="F166" s="2"/>
    </row>
    <row r="167" customFormat="false" ht="15.75" hidden="false" customHeight="true" outlineLevel="0" collapsed="false">
      <c r="A167" s="2"/>
      <c r="B167" s="2"/>
      <c r="C167" s="2"/>
      <c r="D167" s="2"/>
      <c r="E167" s="2"/>
      <c r="F167" s="2"/>
    </row>
    <row r="168" customFormat="false" ht="15.75" hidden="false" customHeight="true" outlineLevel="0" collapsed="false">
      <c r="A168" s="2"/>
      <c r="B168" s="2"/>
      <c r="C168" s="2"/>
      <c r="D168" s="2"/>
      <c r="E168" s="2"/>
      <c r="F168" s="2"/>
    </row>
    <row r="169" customFormat="false" ht="15.75" hidden="false" customHeight="true" outlineLevel="0" collapsed="false">
      <c r="A169" s="2"/>
      <c r="B169" s="2"/>
      <c r="C169" s="2"/>
      <c r="D169" s="2"/>
      <c r="E169" s="2"/>
      <c r="F169" s="2"/>
    </row>
    <row r="170" customFormat="false" ht="15.75" hidden="false" customHeight="true" outlineLevel="0" collapsed="false">
      <c r="A170" s="2"/>
      <c r="B170" s="2"/>
      <c r="C170" s="2"/>
      <c r="D170" s="2"/>
      <c r="E170" s="2"/>
      <c r="F170" s="2"/>
    </row>
    <row r="171" customFormat="false" ht="15.75" hidden="false" customHeight="true" outlineLevel="0" collapsed="false">
      <c r="A171" s="2"/>
      <c r="B171" s="2"/>
      <c r="C171" s="2"/>
      <c r="D171" s="2"/>
      <c r="E171" s="2"/>
      <c r="F171" s="2"/>
    </row>
    <row r="172" customFormat="false" ht="15.75" hidden="false" customHeight="true" outlineLevel="0" collapsed="false">
      <c r="A172" s="2"/>
      <c r="B172" s="2"/>
      <c r="C172" s="2"/>
      <c r="D172" s="2"/>
      <c r="E172" s="2"/>
      <c r="F172" s="2"/>
    </row>
    <row r="173" customFormat="false" ht="15.75" hidden="false" customHeight="true" outlineLevel="0" collapsed="false">
      <c r="A173" s="2"/>
      <c r="B173" s="2"/>
      <c r="C173" s="2"/>
      <c r="D173" s="2"/>
      <c r="E173" s="2"/>
      <c r="F173" s="2"/>
    </row>
    <row r="174" customFormat="false" ht="15.75" hidden="false" customHeight="true" outlineLevel="0" collapsed="false">
      <c r="A174" s="2"/>
      <c r="B174" s="2"/>
      <c r="C174" s="2"/>
      <c r="D174" s="2"/>
      <c r="E174" s="2"/>
      <c r="F174" s="2"/>
    </row>
    <row r="175" customFormat="false" ht="15.75" hidden="false" customHeight="true" outlineLevel="0" collapsed="false">
      <c r="A175" s="2"/>
      <c r="B175" s="2"/>
      <c r="C175" s="2"/>
      <c r="D175" s="2"/>
      <c r="E175" s="2"/>
      <c r="F175" s="2"/>
    </row>
    <row r="176" customFormat="false" ht="15.75" hidden="false" customHeight="true" outlineLevel="0" collapsed="false">
      <c r="A176" s="2"/>
      <c r="B176" s="2"/>
      <c r="C176" s="2"/>
      <c r="D176" s="2"/>
      <c r="E176" s="2"/>
      <c r="F176" s="2"/>
    </row>
    <row r="177" customFormat="false" ht="15.75" hidden="false" customHeight="true" outlineLevel="0" collapsed="false">
      <c r="A177" s="2"/>
      <c r="B177" s="2"/>
      <c r="C177" s="2"/>
      <c r="D177" s="2"/>
      <c r="E177" s="2"/>
      <c r="F177" s="2"/>
    </row>
    <row r="178" customFormat="false" ht="15.75" hidden="false" customHeight="true" outlineLevel="0" collapsed="false">
      <c r="A178" s="2"/>
      <c r="B178" s="2"/>
      <c r="C178" s="2"/>
      <c r="D178" s="2"/>
      <c r="E178" s="2"/>
      <c r="F178" s="2"/>
    </row>
    <row r="179" customFormat="false" ht="15.75" hidden="false" customHeight="true" outlineLevel="0" collapsed="false">
      <c r="A179" s="2"/>
      <c r="B179" s="2"/>
      <c r="C179" s="2"/>
      <c r="D179" s="2"/>
      <c r="E179" s="2"/>
      <c r="F179" s="2"/>
    </row>
    <row r="180" customFormat="false" ht="15.75" hidden="false" customHeight="true" outlineLevel="0" collapsed="false">
      <c r="A180" s="2"/>
      <c r="B180" s="2"/>
      <c r="C180" s="2"/>
      <c r="D180" s="2"/>
      <c r="E180" s="2"/>
      <c r="F180" s="2"/>
    </row>
    <row r="181" customFormat="false" ht="15.75" hidden="false" customHeight="true" outlineLevel="0" collapsed="false">
      <c r="A181" s="2"/>
      <c r="B181" s="2"/>
      <c r="C181" s="2"/>
      <c r="D181" s="2"/>
      <c r="E181" s="2"/>
      <c r="F181" s="2"/>
    </row>
    <row r="182" customFormat="false" ht="15.75" hidden="false" customHeight="true" outlineLevel="0" collapsed="false">
      <c r="A182" s="2"/>
      <c r="B182" s="2"/>
      <c r="C182" s="2"/>
      <c r="D182" s="2"/>
      <c r="E182" s="2"/>
      <c r="F182" s="2"/>
    </row>
    <row r="183" customFormat="false" ht="15.75" hidden="false" customHeight="true" outlineLevel="0" collapsed="false">
      <c r="A183" s="2"/>
      <c r="B183" s="2"/>
      <c r="C183" s="2"/>
      <c r="D183" s="2"/>
      <c r="E183" s="2"/>
      <c r="F183" s="2"/>
    </row>
    <row r="184" customFormat="false" ht="15.75" hidden="false" customHeight="true" outlineLevel="0" collapsed="false">
      <c r="A184" s="2"/>
      <c r="B184" s="2"/>
      <c r="C184" s="2"/>
      <c r="D184" s="2"/>
      <c r="E184" s="2"/>
      <c r="F184" s="2"/>
    </row>
    <row r="185" customFormat="false" ht="15.75" hidden="false" customHeight="true" outlineLevel="0" collapsed="false">
      <c r="A185" s="2"/>
      <c r="B185" s="2"/>
      <c r="C185" s="2"/>
      <c r="D185" s="2"/>
      <c r="E185" s="2"/>
      <c r="F185" s="2"/>
    </row>
    <row r="186" customFormat="false" ht="15.75" hidden="false" customHeight="true" outlineLevel="0" collapsed="false">
      <c r="A186" s="2"/>
      <c r="B186" s="2"/>
      <c r="C186" s="2"/>
      <c r="D186" s="2"/>
      <c r="E186" s="2"/>
      <c r="F186" s="2"/>
    </row>
    <row r="187" customFormat="false" ht="15.75" hidden="false" customHeight="true" outlineLevel="0" collapsed="false">
      <c r="A187" s="2"/>
      <c r="B187" s="2"/>
      <c r="C187" s="2"/>
      <c r="D187" s="2"/>
      <c r="E187" s="2"/>
      <c r="F187" s="2"/>
    </row>
    <row r="188" customFormat="false" ht="15.75" hidden="false" customHeight="true" outlineLevel="0" collapsed="false">
      <c r="A188" s="2"/>
      <c r="B188" s="2"/>
      <c r="C188" s="2"/>
      <c r="D188" s="2"/>
      <c r="E188" s="2"/>
      <c r="F188" s="2"/>
    </row>
    <row r="189" customFormat="false" ht="15.75" hidden="false" customHeight="true" outlineLevel="0" collapsed="false">
      <c r="A189" s="2"/>
      <c r="B189" s="2"/>
      <c r="C189" s="2"/>
      <c r="D189" s="2"/>
      <c r="E189" s="2"/>
      <c r="F189" s="2"/>
    </row>
    <row r="190" customFormat="false" ht="15.75" hidden="false" customHeight="true" outlineLevel="0" collapsed="false">
      <c r="A190" s="2"/>
      <c r="B190" s="2"/>
      <c r="C190" s="2"/>
      <c r="D190" s="2"/>
      <c r="E190" s="2"/>
      <c r="F190" s="2"/>
    </row>
    <row r="191" customFormat="false" ht="15.75" hidden="false" customHeight="true" outlineLevel="0" collapsed="false">
      <c r="A191" s="2"/>
      <c r="B191" s="2"/>
      <c r="C191" s="2"/>
      <c r="D191" s="2"/>
      <c r="E191" s="2"/>
      <c r="F191" s="2"/>
    </row>
    <row r="192" customFormat="false" ht="15.75" hidden="false" customHeight="true" outlineLevel="0" collapsed="false">
      <c r="A192" s="2"/>
      <c r="B192" s="2"/>
      <c r="C192" s="2"/>
      <c r="D192" s="2"/>
      <c r="E192" s="2"/>
      <c r="F192" s="2"/>
    </row>
    <row r="193" customFormat="false" ht="15.75" hidden="false" customHeight="true" outlineLevel="0" collapsed="false">
      <c r="A193" s="2"/>
      <c r="B193" s="2"/>
      <c r="C193" s="2"/>
      <c r="D193" s="2"/>
      <c r="E193" s="2"/>
      <c r="F193" s="2"/>
    </row>
    <row r="194" customFormat="false" ht="15.75" hidden="false" customHeight="true" outlineLevel="0" collapsed="false">
      <c r="A194" s="2"/>
      <c r="B194" s="2"/>
      <c r="C194" s="2"/>
      <c r="D194" s="2"/>
      <c r="E194" s="2"/>
      <c r="F194" s="2"/>
    </row>
    <row r="195" customFormat="false" ht="15.75" hidden="false" customHeight="true" outlineLevel="0" collapsed="false">
      <c r="A195" s="2"/>
      <c r="B195" s="2"/>
      <c r="C195" s="2"/>
      <c r="D195" s="2"/>
      <c r="E195" s="2"/>
      <c r="F195" s="2"/>
    </row>
    <row r="196" customFormat="false" ht="15.75" hidden="false" customHeight="true" outlineLevel="0" collapsed="false">
      <c r="A196" s="2"/>
      <c r="B196" s="2"/>
      <c r="C196" s="2"/>
      <c r="D196" s="2"/>
      <c r="E196" s="2"/>
      <c r="F196" s="2"/>
    </row>
    <row r="197" customFormat="false" ht="15.75" hidden="false" customHeight="true" outlineLevel="0" collapsed="false">
      <c r="A197" s="2"/>
      <c r="B197" s="2"/>
      <c r="C197" s="2"/>
      <c r="D197" s="2"/>
      <c r="E197" s="2"/>
      <c r="F197" s="2"/>
    </row>
    <row r="198" customFormat="false" ht="15.75" hidden="false" customHeight="true" outlineLevel="0" collapsed="false">
      <c r="A198" s="2"/>
      <c r="B198" s="2"/>
      <c r="C198" s="2"/>
      <c r="D198" s="2"/>
      <c r="E198" s="2"/>
      <c r="F198" s="2"/>
    </row>
    <row r="199" customFormat="false" ht="15.75" hidden="false" customHeight="true" outlineLevel="0" collapsed="false">
      <c r="A199" s="2"/>
      <c r="B199" s="2"/>
      <c r="C199" s="2"/>
      <c r="D199" s="2"/>
      <c r="E199" s="2"/>
      <c r="F199" s="2"/>
    </row>
    <row r="200" customFormat="false" ht="15.75" hidden="false" customHeight="true" outlineLevel="0" collapsed="false">
      <c r="A200" s="2"/>
      <c r="B200" s="2"/>
      <c r="C200" s="2"/>
      <c r="D200" s="2"/>
      <c r="E200" s="2"/>
      <c r="F200" s="2"/>
    </row>
    <row r="201" customFormat="false" ht="15.75" hidden="false" customHeight="true" outlineLevel="0" collapsed="false">
      <c r="A201" s="2"/>
      <c r="B201" s="2"/>
      <c r="C201" s="2"/>
      <c r="D201" s="2"/>
      <c r="E201" s="2"/>
      <c r="F201" s="2"/>
    </row>
    <row r="202" customFormat="false" ht="15.75" hidden="false" customHeight="true" outlineLevel="0" collapsed="false">
      <c r="A202" s="2"/>
      <c r="B202" s="2"/>
      <c r="C202" s="2"/>
      <c r="D202" s="2"/>
      <c r="E202" s="2"/>
      <c r="F202" s="2"/>
    </row>
    <row r="203" customFormat="false" ht="15.75" hidden="false" customHeight="true" outlineLevel="0" collapsed="false">
      <c r="A203" s="2"/>
      <c r="B203" s="2"/>
      <c r="C203" s="2"/>
      <c r="D203" s="2"/>
      <c r="E203" s="2"/>
      <c r="F203" s="2"/>
    </row>
    <row r="204" customFormat="false" ht="15.75" hidden="false" customHeight="true" outlineLevel="0" collapsed="false">
      <c r="A204" s="2"/>
      <c r="B204" s="2"/>
      <c r="C204" s="2"/>
      <c r="D204" s="2"/>
      <c r="E204" s="2"/>
      <c r="F204" s="2"/>
    </row>
    <row r="205" customFormat="false" ht="15.75" hidden="false" customHeight="true" outlineLevel="0" collapsed="false">
      <c r="A205" s="2"/>
      <c r="B205" s="2"/>
      <c r="C205" s="2"/>
      <c r="D205" s="2"/>
      <c r="E205" s="2"/>
      <c r="F205" s="2"/>
    </row>
    <row r="206" customFormat="false" ht="15.75" hidden="false" customHeight="true" outlineLevel="0" collapsed="false">
      <c r="A206" s="2"/>
      <c r="B206" s="2"/>
      <c r="C206" s="2"/>
      <c r="D206" s="2"/>
      <c r="E206" s="2"/>
      <c r="F206" s="2"/>
    </row>
    <row r="207" customFormat="false" ht="15.75" hidden="false" customHeight="true" outlineLevel="0" collapsed="false">
      <c r="A207" s="2"/>
      <c r="B207" s="2"/>
      <c r="C207" s="2"/>
      <c r="D207" s="2"/>
      <c r="E207" s="2"/>
      <c r="F207" s="2"/>
    </row>
    <row r="208" customFormat="false" ht="15.75" hidden="false" customHeight="true" outlineLevel="0" collapsed="false">
      <c r="A208" s="2"/>
      <c r="B208" s="2"/>
      <c r="C208" s="2"/>
      <c r="D208" s="2"/>
      <c r="E208" s="2"/>
      <c r="F208" s="2"/>
    </row>
    <row r="209" customFormat="false" ht="15.75" hidden="false" customHeight="true" outlineLevel="0" collapsed="false">
      <c r="A209" s="2"/>
      <c r="B209" s="2"/>
      <c r="C209" s="2"/>
      <c r="D209" s="2"/>
      <c r="E209" s="2"/>
      <c r="F209" s="2"/>
    </row>
    <row r="210" customFormat="false" ht="15.75" hidden="false" customHeight="true" outlineLevel="0" collapsed="false">
      <c r="A210" s="2"/>
      <c r="B210" s="2"/>
      <c r="C210" s="2"/>
      <c r="D210" s="2"/>
      <c r="E210" s="2"/>
      <c r="F210" s="2"/>
    </row>
    <row r="211" customFormat="false" ht="15.75" hidden="false" customHeight="true" outlineLevel="0" collapsed="false">
      <c r="A211" s="2"/>
      <c r="B211" s="2"/>
      <c r="C211" s="2"/>
      <c r="D211" s="2"/>
      <c r="E211" s="2"/>
      <c r="F211" s="2"/>
    </row>
    <row r="212" customFormat="false" ht="15.75" hidden="false" customHeight="true" outlineLevel="0" collapsed="false">
      <c r="A212" s="2"/>
      <c r="B212" s="2"/>
      <c r="C212" s="2"/>
      <c r="D212" s="2"/>
      <c r="E212" s="2"/>
      <c r="F212" s="2"/>
    </row>
    <row r="213" customFormat="false" ht="15.75" hidden="false" customHeight="true" outlineLevel="0" collapsed="false">
      <c r="A213" s="2"/>
      <c r="B213" s="2"/>
      <c r="C213" s="2"/>
      <c r="D213" s="2"/>
      <c r="E213" s="2"/>
      <c r="F213" s="2"/>
    </row>
    <row r="214" customFormat="false" ht="15.75" hidden="false" customHeight="true" outlineLevel="0" collapsed="false">
      <c r="A214" s="2"/>
      <c r="B214" s="2"/>
      <c r="C214" s="2"/>
      <c r="D214" s="2"/>
      <c r="E214" s="2"/>
      <c r="F214" s="2"/>
    </row>
    <row r="215" customFormat="false" ht="15.75" hidden="false" customHeight="true" outlineLevel="0" collapsed="false">
      <c r="A215" s="2"/>
      <c r="B215" s="2"/>
      <c r="C215" s="2"/>
      <c r="D215" s="2"/>
      <c r="E215" s="2"/>
      <c r="F215" s="2"/>
    </row>
    <row r="216" customFormat="false" ht="15.75" hidden="false" customHeight="true" outlineLevel="0" collapsed="false">
      <c r="A216" s="2"/>
      <c r="B216" s="2"/>
      <c r="C216" s="2"/>
      <c r="D216" s="2"/>
      <c r="E216" s="2"/>
      <c r="F216" s="2"/>
    </row>
    <row r="217" customFormat="false" ht="15.75" hidden="false" customHeight="true" outlineLevel="0" collapsed="false">
      <c r="A217" s="2"/>
      <c r="B217" s="2"/>
      <c r="C217" s="2"/>
      <c r="D217" s="2"/>
      <c r="E217" s="2"/>
      <c r="F217" s="2"/>
    </row>
    <row r="218" customFormat="false" ht="15.75" hidden="false" customHeight="true" outlineLevel="0" collapsed="false">
      <c r="A218" s="2"/>
      <c r="B218" s="2"/>
      <c r="C218" s="2"/>
      <c r="D218" s="2"/>
      <c r="E218" s="2"/>
      <c r="F218" s="2"/>
    </row>
    <row r="219" customFormat="false" ht="15.75" hidden="false" customHeight="true" outlineLevel="0" collapsed="false">
      <c r="A219" s="2"/>
      <c r="B219" s="2"/>
      <c r="C219" s="2"/>
      <c r="D219" s="2"/>
      <c r="E219" s="2"/>
      <c r="F219" s="2"/>
    </row>
    <row r="220" customFormat="false" ht="15.75" hidden="false" customHeight="true" outlineLevel="0" collapsed="false">
      <c r="A220" s="2"/>
      <c r="B220" s="2"/>
      <c r="C220" s="2"/>
      <c r="D220" s="2"/>
      <c r="E220" s="2"/>
      <c r="F220" s="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0"/>
    <col collapsed="false" customWidth="true" hidden="false" outlineLevel="0" max="4" min="4" style="0" width="12"/>
    <col collapsed="false" customWidth="true" hidden="false" outlineLevel="0" max="5" min="5" style="0" width="28"/>
    <col collapsed="false" customWidth="true" hidden="false" outlineLevel="0" max="6" min="6" style="0" width="24"/>
    <col collapsed="false" customWidth="true" hidden="false" outlineLevel="0" max="7" min="7" style="0" width="50"/>
    <col collapsed="false" customWidth="true" hidden="false" outlineLevel="0" max="8" min="8" style="0" width="20"/>
    <col collapsed="false" customWidth="true" hidden="false" outlineLevel="0" max="9" min="9" style="0" width="18"/>
    <col collapsed="false" customWidth="true" hidden="false" outlineLevel="0" max="10" min="10" style="0" width="40"/>
  </cols>
  <sheetData>
    <row r="1" customFormat="false" ht="31.5" hidden="false" customHeight="true" outlineLevel="0" collapsed="false">
      <c r="A1" s="1" t="s">
        <v>576</v>
      </c>
      <c r="B1" s="1"/>
      <c r="C1" s="1"/>
      <c r="D1" s="1"/>
      <c r="E1" s="1"/>
      <c r="F1" s="1"/>
      <c r="G1" s="1"/>
      <c r="H1" s="1"/>
      <c r="I1" s="1"/>
      <c r="J1" s="1"/>
    </row>
    <row r="2" customFormat="false" ht="21.75" hidden="false" customHeight="true" outlineLevel="0" collapsed="false">
      <c r="A2" s="3" t="s">
        <v>577</v>
      </c>
      <c r="B2" s="3"/>
      <c r="C2" s="3"/>
      <c r="D2" s="3"/>
      <c r="E2" s="3"/>
      <c r="F2" s="3"/>
      <c r="G2" s="3"/>
      <c r="H2" s="3"/>
      <c r="I2" s="3"/>
      <c r="J2" s="3"/>
    </row>
    <row r="3" customFormat="false" ht="15" hidden="false" customHeight="false" outlineLevel="0" collapsed="false">
      <c r="A3" s="2"/>
      <c r="B3" s="2"/>
      <c r="C3" s="2"/>
      <c r="D3" s="2"/>
      <c r="E3" s="2"/>
      <c r="F3" s="2"/>
      <c r="G3" s="2"/>
      <c r="H3" s="2"/>
      <c r="I3" s="2"/>
      <c r="J3" s="2"/>
    </row>
    <row r="4" customFormat="false" ht="30" hidden="false" customHeight="true" outlineLevel="0" collapsed="false">
      <c r="A4" s="19" t="s">
        <v>35</v>
      </c>
      <c r="B4" s="19" t="s">
        <v>100</v>
      </c>
      <c r="C4" s="19" t="s">
        <v>101</v>
      </c>
      <c r="D4" s="19" t="s">
        <v>102</v>
      </c>
      <c r="E4" s="19" t="s">
        <v>103</v>
      </c>
      <c r="F4" s="19" t="s">
        <v>104</v>
      </c>
      <c r="G4" s="19" t="s">
        <v>105</v>
      </c>
      <c r="H4" s="19" t="s">
        <v>578</v>
      </c>
      <c r="I4" s="19" t="s">
        <v>41</v>
      </c>
      <c r="J4" s="19" t="s">
        <v>579</v>
      </c>
    </row>
    <row r="5" customFormat="false" ht="120" hidden="false" customHeight="true" outlineLevel="0" collapsed="false">
      <c r="A5" s="20" t="s">
        <v>82</v>
      </c>
      <c r="B5" s="20" t="s">
        <v>580</v>
      </c>
      <c r="C5" s="20" t="s">
        <v>4</v>
      </c>
      <c r="D5" s="20" t="s">
        <v>20</v>
      </c>
      <c r="E5" s="20" t="s">
        <v>581</v>
      </c>
      <c r="F5" s="20" t="s">
        <v>582</v>
      </c>
      <c r="G5" s="20" t="s">
        <v>583</v>
      </c>
      <c r="H5" s="20" t="s">
        <v>584</v>
      </c>
      <c r="I5" s="20" t="s">
        <v>585</v>
      </c>
      <c r="J5" s="20" t="s">
        <v>586</v>
      </c>
    </row>
    <row r="6" customFormat="false" ht="120" hidden="false" customHeight="true" outlineLevel="0" collapsed="false">
      <c r="A6" s="24" t="s">
        <v>82</v>
      </c>
      <c r="B6" s="24" t="s">
        <v>587</v>
      </c>
      <c r="C6" s="24" t="s">
        <v>4</v>
      </c>
      <c r="D6" s="24" t="s">
        <v>20</v>
      </c>
      <c r="E6" s="24" t="s">
        <v>588</v>
      </c>
      <c r="F6" s="24" t="s">
        <v>138</v>
      </c>
      <c r="G6" s="24" t="s">
        <v>589</v>
      </c>
      <c r="H6" s="24" t="s">
        <v>584</v>
      </c>
      <c r="I6" s="24" t="s">
        <v>585</v>
      </c>
      <c r="J6" s="24" t="s">
        <v>590</v>
      </c>
    </row>
    <row r="7" customFormat="false" ht="120" hidden="false" customHeight="true" outlineLevel="0" collapsed="false">
      <c r="A7" s="20" t="s">
        <v>60</v>
      </c>
      <c r="B7" s="20" t="s">
        <v>591</v>
      </c>
      <c r="C7" s="20" t="s">
        <v>3</v>
      </c>
      <c r="D7" s="20" t="s">
        <v>20</v>
      </c>
      <c r="E7" s="20" t="s">
        <v>592</v>
      </c>
      <c r="F7" s="20" t="s">
        <v>593</v>
      </c>
      <c r="G7" s="20" t="s">
        <v>594</v>
      </c>
      <c r="H7" s="20" t="s">
        <v>595</v>
      </c>
      <c r="I7" s="20" t="s">
        <v>596</v>
      </c>
      <c r="J7" s="20" t="s">
        <v>597</v>
      </c>
    </row>
    <row r="8" customFormat="false" ht="15" hidden="false" customHeight="false" outlineLevel="0" collapsed="false">
      <c r="A8" s="2"/>
      <c r="B8" s="2"/>
      <c r="C8" s="2"/>
      <c r="D8" s="2"/>
      <c r="E8" s="2"/>
      <c r="F8" s="2"/>
      <c r="G8" s="2"/>
      <c r="H8" s="2"/>
      <c r="I8" s="2"/>
      <c r="J8" s="2"/>
    </row>
    <row r="9" customFormat="false" ht="15" hidden="false" customHeight="false" outlineLevel="0" collapsed="false">
      <c r="A9" s="2"/>
      <c r="B9" s="2"/>
      <c r="C9" s="2"/>
      <c r="D9" s="2"/>
      <c r="E9" s="2"/>
      <c r="F9" s="2"/>
      <c r="G9" s="2"/>
      <c r="H9" s="2"/>
      <c r="I9" s="2"/>
      <c r="J9" s="2"/>
    </row>
    <row r="10" customFormat="false" ht="15" hidden="false" customHeight="false" outlineLevel="0" collapsed="false">
      <c r="A10" s="2"/>
      <c r="B10" s="2"/>
      <c r="C10" s="2"/>
      <c r="D10" s="2"/>
      <c r="E10" s="2"/>
      <c r="F10" s="2"/>
      <c r="G10" s="2"/>
      <c r="H10" s="2"/>
      <c r="I10" s="2"/>
      <c r="J10" s="2"/>
    </row>
    <row r="11" customFormat="false" ht="15" hidden="false" customHeight="false" outlineLevel="0" collapsed="false">
      <c r="A11" s="2"/>
      <c r="B11" s="2"/>
      <c r="C11" s="2"/>
      <c r="D11" s="2"/>
      <c r="E11" s="2"/>
      <c r="F11" s="2"/>
      <c r="G11" s="2"/>
      <c r="H11" s="2"/>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false" outlineLevel="0" collapsed="false">
      <c r="A14" s="2"/>
      <c r="B14" s="2"/>
      <c r="C14" s="2"/>
      <c r="D14" s="2"/>
      <c r="E14" s="2"/>
      <c r="F14" s="2"/>
      <c r="G14" s="2"/>
      <c r="H14" s="2"/>
      <c r="I14" s="2"/>
      <c r="J14" s="2"/>
    </row>
    <row r="15" customFormat="false" ht="15" hidden="false" customHeight="false" outlineLevel="0" collapsed="false">
      <c r="A15" s="2"/>
      <c r="B15" s="2"/>
      <c r="C15" s="2"/>
      <c r="D15" s="2"/>
      <c r="E15" s="2"/>
      <c r="F15" s="2"/>
      <c r="G15" s="2"/>
      <c r="H15" s="2"/>
      <c r="I15" s="2"/>
      <c r="J15" s="2"/>
    </row>
    <row r="16" customFormat="false" ht="15" hidden="false" customHeight="false" outlineLevel="0" collapsed="false">
      <c r="A16" s="2"/>
      <c r="B16" s="2"/>
      <c r="C16" s="2"/>
      <c r="D16" s="2"/>
      <c r="E16" s="2"/>
      <c r="F16" s="2"/>
      <c r="G16" s="2"/>
      <c r="H16" s="2"/>
      <c r="I16" s="2"/>
      <c r="J16" s="2"/>
    </row>
    <row r="17" customFormat="false" ht="15" hidden="false" customHeight="false" outlineLevel="0" collapsed="false">
      <c r="A17" s="2"/>
      <c r="B17" s="2"/>
      <c r="C17" s="2"/>
      <c r="D17" s="2"/>
      <c r="E17" s="2"/>
      <c r="F17" s="2"/>
      <c r="G17" s="2"/>
      <c r="H17" s="2"/>
      <c r="I17" s="2"/>
      <c r="J17" s="2"/>
    </row>
    <row r="18" customFormat="false" ht="15" hidden="false" customHeight="false" outlineLevel="0" collapsed="false">
      <c r="A18" s="2"/>
      <c r="B18" s="2"/>
      <c r="C18" s="2"/>
      <c r="D18" s="2"/>
      <c r="E18" s="2"/>
      <c r="F18" s="2"/>
      <c r="G18" s="2"/>
      <c r="H18" s="2"/>
      <c r="I18" s="2"/>
      <c r="J18" s="2"/>
    </row>
    <row r="19" customFormat="false" ht="15" hidden="false" customHeight="false" outlineLevel="0" collapsed="false">
      <c r="A19" s="2"/>
      <c r="B19" s="2"/>
      <c r="C19" s="2"/>
      <c r="D19" s="2"/>
      <c r="E19" s="2"/>
      <c r="F19" s="2"/>
      <c r="G19" s="2"/>
      <c r="H19" s="2"/>
      <c r="I19" s="2"/>
      <c r="J19" s="2"/>
    </row>
    <row r="20" customFormat="false" ht="15" hidden="false" customHeight="false" outlineLevel="0" collapsed="false">
      <c r="A20" s="2"/>
      <c r="B20" s="2"/>
      <c r="C20" s="2"/>
      <c r="D20" s="2"/>
      <c r="E20" s="2"/>
      <c r="F20" s="2"/>
      <c r="G20" s="2"/>
      <c r="H20" s="2"/>
      <c r="I20" s="2"/>
      <c r="J20" s="2"/>
    </row>
    <row r="21" customFormat="false" ht="15.75" hidden="false" customHeight="true" outlineLevel="0" collapsed="false">
      <c r="A21" s="2"/>
      <c r="B21" s="2"/>
      <c r="C21" s="2"/>
      <c r="D21" s="2"/>
      <c r="E21" s="2"/>
      <c r="F21" s="2"/>
      <c r="G21" s="2"/>
      <c r="H21" s="2"/>
      <c r="I21" s="2"/>
      <c r="J21" s="2"/>
    </row>
    <row r="22" customFormat="false" ht="15.75" hidden="false" customHeight="true" outlineLevel="0" collapsed="false">
      <c r="A22" s="2"/>
      <c r="B22" s="2"/>
      <c r="C22" s="2"/>
      <c r="D22" s="2"/>
      <c r="E22" s="2"/>
      <c r="F22" s="2"/>
      <c r="G22" s="2"/>
      <c r="H22" s="2"/>
      <c r="I22" s="2"/>
      <c r="J22" s="2"/>
    </row>
    <row r="23" customFormat="false" ht="15.75" hidden="false" customHeight="true" outlineLevel="0" collapsed="false">
      <c r="A23" s="2"/>
      <c r="B23" s="2"/>
      <c r="C23" s="2"/>
      <c r="D23" s="2"/>
      <c r="E23" s="2"/>
      <c r="F23" s="2"/>
      <c r="G23" s="2"/>
      <c r="H23" s="2"/>
      <c r="I23" s="2"/>
      <c r="J23" s="2"/>
    </row>
    <row r="24" customFormat="false" ht="15.75" hidden="false" customHeight="true" outlineLevel="0" collapsed="false">
      <c r="A24" s="2"/>
      <c r="B24" s="2"/>
      <c r="C24" s="2"/>
      <c r="D24" s="2"/>
      <c r="E24" s="2"/>
      <c r="F24" s="2"/>
      <c r="G24" s="2"/>
      <c r="H24" s="2"/>
      <c r="I24" s="2"/>
      <c r="J24" s="2"/>
    </row>
    <row r="25" customFormat="false" ht="15.75" hidden="false" customHeight="true" outlineLevel="0" collapsed="false">
      <c r="A25" s="2"/>
      <c r="B25" s="2"/>
      <c r="C25" s="2"/>
      <c r="D25" s="2"/>
      <c r="E25" s="2"/>
      <c r="F25" s="2"/>
      <c r="G25" s="2"/>
      <c r="H25" s="2"/>
      <c r="I25" s="2"/>
      <c r="J25" s="2"/>
    </row>
    <row r="26" customFormat="false" ht="15.75" hidden="false" customHeight="true" outlineLevel="0" collapsed="false">
      <c r="A26" s="2"/>
      <c r="B26" s="2"/>
      <c r="C26" s="2"/>
      <c r="D26" s="2"/>
      <c r="E26" s="2"/>
      <c r="F26" s="2"/>
      <c r="G26" s="2"/>
      <c r="H26" s="2"/>
      <c r="I26" s="2"/>
      <c r="J26" s="2"/>
    </row>
    <row r="27" customFormat="false" ht="15.75" hidden="false" customHeight="true" outlineLevel="0" collapsed="false">
      <c r="A27" s="2"/>
      <c r="B27" s="2"/>
      <c r="C27" s="2"/>
      <c r="D27" s="2"/>
      <c r="E27" s="2"/>
      <c r="F27" s="2"/>
      <c r="G27" s="2"/>
      <c r="H27" s="2"/>
      <c r="I27" s="2"/>
      <c r="J27" s="2"/>
    </row>
    <row r="28" customFormat="false" ht="15.75" hidden="false" customHeight="true" outlineLevel="0" collapsed="false">
      <c r="A28" s="2"/>
      <c r="B28" s="2"/>
      <c r="C28" s="2"/>
      <c r="D28" s="2"/>
      <c r="E28" s="2"/>
      <c r="F28" s="2"/>
      <c r="G28" s="2"/>
      <c r="H28" s="2"/>
      <c r="I28" s="2"/>
      <c r="J28" s="2"/>
    </row>
    <row r="29" customFormat="false" ht="15.75" hidden="false" customHeight="true" outlineLevel="0" collapsed="false">
      <c r="A29" s="2"/>
      <c r="B29" s="2"/>
      <c r="C29" s="2"/>
      <c r="D29" s="2"/>
      <c r="E29" s="2"/>
      <c r="F29" s="2"/>
      <c r="G29" s="2"/>
      <c r="H29" s="2"/>
      <c r="I29" s="2"/>
      <c r="J29" s="2"/>
    </row>
    <row r="30" customFormat="false" ht="15.75" hidden="false" customHeight="true" outlineLevel="0" collapsed="false">
      <c r="A30" s="2"/>
      <c r="B30" s="2"/>
      <c r="C30" s="2"/>
      <c r="D30" s="2"/>
      <c r="E30" s="2"/>
      <c r="F30" s="2"/>
      <c r="G30" s="2"/>
      <c r="H30" s="2"/>
      <c r="I30" s="2"/>
      <c r="J30" s="2"/>
    </row>
    <row r="31" customFormat="false" ht="15.75" hidden="false" customHeight="true" outlineLevel="0" collapsed="false">
      <c r="A31" s="2"/>
      <c r="B31" s="2"/>
      <c r="C31" s="2"/>
      <c r="D31" s="2"/>
      <c r="E31" s="2"/>
      <c r="F31" s="2"/>
      <c r="G31" s="2"/>
      <c r="H31" s="2"/>
      <c r="I31" s="2"/>
      <c r="J31" s="2"/>
    </row>
    <row r="32" customFormat="false" ht="15.75" hidden="false" customHeight="true" outlineLevel="0" collapsed="false">
      <c r="A32" s="2"/>
      <c r="B32" s="2"/>
      <c r="C32" s="2"/>
      <c r="D32" s="2"/>
      <c r="E32" s="2"/>
      <c r="F32" s="2"/>
      <c r="G32" s="2"/>
      <c r="H32" s="2"/>
      <c r="I32" s="2"/>
      <c r="J32" s="2"/>
    </row>
    <row r="33" customFormat="false" ht="15.75" hidden="false" customHeight="true" outlineLevel="0" collapsed="false">
      <c r="A33" s="2"/>
      <c r="B33" s="2"/>
      <c r="C33" s="2"/>
      <c r="D33" s="2"/>
      <c r="E33" s="2"/>
      <c r="F33" s="2"/>
      <c r="G33" s="2"/>
      <c r="H33" s="2"/>
      <c r="I33" s="2"/>
      <c r="J33" s="2"/>
    </row>
    <row r="34" customFormat="false" ht="15.75" hidden="false" customHeight="true" outlineLevel="0" collapsed="false">
      <c r="A34" s="2"/>
      <c r="B34" s="2"/>
      <c r="C34" s="2"/>
      <c r="D34" s="2"/>
      <c r="E34" s="2"/>
      <c r="F34" s="2"/>
      <c r="G34" s="2"/>
      <c r="H34" s="2"/>
      <c r="I34" s="2"/>
      <c r="J34" s="2"/>
    </row>
    <row r="35" customFormat="false" ht="15.75" hidden="false" customHeight="true" outlineLevel="0" collapsed="false">
      <c r="A35" s="2"/>
      <c r="B35" s="2"/>
      <c r="C35" s="2"/>
      <c r="D35" s="2"/>
      <c r="E35" s="2"/>
      <c r="F35" s="2"/>
      <c r="G35" s="2"/>
      <c r="H35" s="2"/>
      <c r="I35" s="2"/>
      <c r="J35" s="2"/>
    </row>
    <row r="36" customFormat="false" ht="15.75" hidden="false" customHeight="true" outlineLevel="0" collapsed="false">
      <c r="A36" s="2"/>
      <c r="B36" s="2"/>
      <c r="C36" s="2"/>
      <c r="D36" s="2"/>
      <c r="E36" s="2"/>
      <c r="F36" s="2"/>
      <c r="G36" s="2"/>
      <c r="H36" s="2"/>
      <c r="I36" s="2"/>
      <c r="J36" s="2"/>
    </row>
    <row r="37" customFormat="false" ht="15.75" hidden="false" customHeight="true" outlineLevel="0" collapsed="false">
      <c r="A37" s="2"/>
      <c r="B37" s="2"/>
      <c r="C37" s="2"/>
      <c r="D37" s="2"/>
      <c r="E37" s="2"/>
      <c r="F37" s="2"/>
      <c r="G37" s="2"/>
      <c r="H37" s="2"/>
      <c r="I37" s="2"/>
      <c r="J37" s="2"/>
    </row>
    <row r="38" customFormat="false" ht="15.75" hidden="false" customHeight="true" outlineLevel="0" collapsed="false">
      <c r="A38" s="2"/>
      <c r="B38" s="2"/>
      <c r="C38" s="2"/>
      <c r="D38" s="2"/>
      <c r="E38" s="2"/>
      <c r="F38" s="2"/>
      <c r="G38" s="2"/>
      <c r="H38" s="2"/>
      <c r="I38" s="2"/>
      <c r="J38" s="2"/>
    </row>
    <row r="39" customFormat="false" ht="15.75" hidden="false" customHeight="true" outlineLevel="0" collapsed="false">
      <c r="A39" s="2"/>
      <c r="B39" s="2"/>
      <c r="C39" s="2"/>
      <c r="D39" s="2"/>
      <c r="E39" s="2"/>
      <c r="F39" s="2"/>
      <c r="G39" s="2"/>
      <c r="H39" s="2"/>
      <c r="I39" s="2"/>
      <c r="J39" s="2"/>
    </row>
    <row r="40" customFormat="false" ht="15.75" hidden="false" customHeight="true" outlineLevel="0" collapsed="false">
      <c r="A40" s="2"/>
      <c r="B40" s="2"/>
      <c r="C40" s="2"/>
      <c r="D40" s="2"/>
      <c r="E40" s="2"/>
      <c r="F40" s="2"/>
      <c r="G40" s="2"/>
      <c r="H40" s="2"/>
      <c r="I40" s="2"/>
      <c r="J40" s="2"/>
    </row>
    <row r="41" customFormat="false" ht="15.75" hidden="false" customHeight="true" outlineLevel="0" collapsed="false">
      <c r="A41" s="2"/>
      <c r="B41" s="2"/>
      <c r="C41" s="2"/>
      <c r="D41" s="2"/>
      <c r="E41" s="2"/>
      <c r="F41" s="2"/>
      <c r="G41" s="2"/>
      <c r="H41" s="2"/>
      <c r="I41" s="2"/>
      <c r="J41" s="2"/>
    </row>
    <row r="42" customFormat="false" ht="15.75" hidden="false" customHeight="true" outlineLevel="0" collapsed="false">
      <c r="A42" s="2"/>
      <c r="B42" s="2"/>
      <c r="C42" s="2"/>
      <c r="D42" s="2"/>
      <c r="E42" s="2"/>
      <c r="F42" s="2"/>
      <c r="G42" s="2"/>
      <c r="H42" s="2"/>
      <c r="I42" s="2"/>
      <c r="J42" s="2"/>
    </row>
    <row r="43" customFormat="false" ht="15.75" hidden="false" customHeight="true" outlineLevel="0" collapsed="false">
      <c r="A43" s="2"/>
      <c r="B43" s="2"/>
      <c r="C43" s="2"/>
      <c r="D43" s="2"/>
      <c r="E43" s="2"/>
      <c r="F43" s="2"/>
      <c r="G43" s="2"/>
      <c r="H43" s="2"/>
      <c r="I43" s="2"/>
      <c r="J43" s="2"/>
    </row>
    <row r="44" customFormat="false" ht="15.75" hidden="false" customHeight="true" outlineLevel="0" collapsed="false">
      <c r="A44" s="2"/>
      <c r="B44" s="2"/>
      <c r="C44" s="2"/>
      <c r="D44" s="2"/>
      <c r="E44" s="2"/>
      <c r="F44" s="2"/>
      <c r="G44" s="2"/>
      <c r="H44" s="2"/>
      <c r="I44" s="2"/>
      <c r="J44" s="2"/>
    </row>
    <row r="45" customFormat="false" ht="15.75" hidden="false" customHeight="true" outlineLevel="0" collapsed="false">
      <c r="A45" s="2"/>
      <c r="B45" s="2"/>
      <c r="C45" s="2"/>
      <c r="D45" s="2"/>
      <c r="E45" s="2"/>
      <c r="F45" s="2"/>
      <c r="G45" s="2"/>
      <c r="H45" s="2"/>
      <c r="I45" s="2"/>
      <c r="J45" s="2"/>
    </row>
    <row r="46" customFormat="false" ht="15.75" hidden="false" customHeight="true" outlineLevel="0" collapsed="false">
      <c r="A46" s="2"/>
      <c r="B46" s="2"/>
      <c r="C46" s="2"/>
      <c r="D46" s="2"/>
      <c r="E46" s="2"/>
      <c r="F46" s="2"/>
      <c r="G46" s="2"/>
      <c r="H46" s="2"/>
      <c r="I46" s="2"/>
      <c r="J46" s="2"/>
    </row>
    <row r="47" customFormat="false" ht="15.75" hidden="false" customHeight="true" outlineLevel="0" collapsed="false">
      <c r="A47" s="2"/>
      <c r="B47" s="2"/>
      <c r="C47" s="2"/>
      <c r="D47" s="2"/>
      <c r="E47" s="2"/>
      <c r="F47" s="2"/>
      <c r="G47" s="2"/>
      <c r="H47" s="2"/>
      <c r="I47" s="2"/>
      <c r="J47" s="2"/>
    </row>
    <row r="48" customFormat="false" ht="15.75" hidden="false" customHeight="true" outlineLevel="0" collapsed="false">
      <c r="A48" s="2"/>
      <c r="B48" s="2"/>
      <c r="C48" s="2"/>
      <c r="D48" s="2"/>
      <c r="E48" s="2"/>
      <c r="F48" s="2"/>
      <c r="G48" s="2"/>
      <c r="H48" s="2"/>
      <c r="I48" s="2"/>
      <c r="J48" s="2"/>
    </row>
    <row r="49" customFormat="false" ht="15.75" hidden="false" customHeight="true" outlineLevel="0" collapsed="false">
      <c r="A49" s="2"/>
      <c r="B49" s="2"/>
      <c r="C49" s="2"/>
      <c r="D49" s="2"/>
      <c r="E49" s="2"/>
      <c r="F49" s="2"/>
      <c r="G49" s="2"/>
      <c r="H49" s="2"/>
      <c r="I49" s="2"/>
      <c r="J49" s="2"/>
    </row>
    <row r="50" customFormat="false" ht="15.75" hidden="false" customHeight="true" outlineLevel="0" collapsed="false">
      <c r="A50" s="2"/>
      <c r="B50" s="2"/>
      <c r="C50" s="2"/>
      <c r="D50" s="2"/>
      <c r="E50" s="2"/>
      <c r="F50" s="2"/>
      <c r="G50" s="2"/>
      <c r="H50" s="2"/>
      <c r="I50" s="2"/>
      <c r="J50" s="2"/>
    </row>
    <row r="51" customFormat="false" ht="15.75" hidden="false" customHeight="true" outlineLevel="0" collapsed="false">
      <c r="A51" s="2"/>
      <c r="B51" s="2"/>
      <c r="C51" s="2"/>
      <c r="D51" s="2"/>
      <c r="E51" s="2"/>
      <c r="F51" s="2"/>
      <c r="G51" s="2"/>
      <c r="H51" s="2"/>
      <c r="I51" s="2"/>
      <c r="J51" s="2"/>
    </row>
    <row r="52" customFormat="false" ht="15.75" hidden="false" customHeight="true" outlineLevel="0" collapsed="false">
      <c r="A52" s="2"/>
      <c r="B52" s="2"/>
      <c r="C52" s="2"/>
      <c r="D52" s="2"/>
      <c r="E52" s="2"/>
      <c r="F52" s="2"/>
      <c r="G52" s="2"/>
      <c r="H52" s="2"/>
      <c r="I52" s="2"/>
      <c r="J52" s="2"/>
    </row>
    <row r="53" customFormat="false" ht="15.75" hidden="false" customHeight="true" outlineLevel="0" collapsed="false">
      <c r="A53" s="2"/>
      <c r="B53" s="2"/>
      <c r="C53" s="2"/>
      <c r="D53" s="2"/>
      <c r="E53" s="2"/>
      <c r="F53" s="2"/>
      <c r="G53" s="2"/>
      <c r="H53" s="2"/>
      <c r="I53" s="2"/>
      <c r="J53" s="2"/>
    </row>
    <row r="54" customFormat="false" ht="15.75" hidden="false" customHeight="true" outlineLevel="0" collapsed="false">
      <c r="A54" s="2"/>
      <c r="B54" s="2"/>
      <c r="C54" s="2"/>
      <c r="D54" s="2"/>
      <c r="E54" s="2"/>
      <c r="F54" s="2"/>
      <c r="G54" s="2"/>
      <c r="H54" s="2"/>
      <c r="I54" s="2"/>
      <c r="J54" s="2"/>
    </row>
    <row r="55" customFormat="false" ht="15.75" hidden="false" customHeight="true" outlineLevel="0" collapsed="false">
      <c r="A55" s="2"/>
      <c r="B55" s="2"/>
      <c r="C55" s="2"/>
      <c r="D55" s="2"/>
      <c r="E55" s="2"/>
      <c r="F55" s="2"/>
      <c r="G55" s="2"/>
      <c r="H55" s="2"/>
      <c r="I55" s="2"/>
      <c r="J55" s="2"/>
    </row>
    <row r="56" customFormat="false" ht="15.75" hidden="false" customHeight="true" outlineLevel="0" collapsed="false">
      <c r="A56" s="2"/>
      <c r="B56" s="2"/>
      <c r="C56" s="2"/>
      <c r="D56" s="2"/>
      <c r="E56" s="2"/>
      <c r="F56" s="2"/>
      <c r="G56" s="2"/>
      <c r="H56" s="2"/>
      <c r="I56" s="2"/>
      <c r="J56" s="2"/>
    </row>
    <row r="57" customFormat="false" ht="15.75" hidden="false" customHeight="true" outlineLevel="0" collapsed="false">
      <c r="A57" s="2"/>
      <c r="B57" s="2"/>
      <c r="C57" s="2"/>
      <c r="D57" s="2"/>
      <c r="E57" s="2"/>
      <c r="F57" s="2"/>
      <c r="G57" s="2"/>
      <c r="H57" s="2"/>
      <c r="I57" s="2"/>
      <c r="J57" s="2"/>
    </row>
    <row r="58" customFormat="false" ht="15.75" hidden="false" customHeight="true" outlineLevel="0" collapsed="false">
      <c r="A58" s="2"/>
      <c r="B58" s="2"/>
      <c r="C58" s="2"/>
      <c r="D58" s="2"/>
      <c r="E58" s="2"/>
      <c r="F58" s="2"/>
      <c r="G58" s="2"/>
      <c r="H58" s="2"/>
      <c r="I58" s="2"/>
      <c r="J58" s="2"/>
    </row>
    <row r="59" customFormat="false" ht="15.75" hidden="false" customHeight="true" outlineLevel="0" collapsed="false">
      <c r="A59" s="2"/>
      <c r="B59" s="2"/>
      <c r="C59" s="2"/>
      <c r="D59" s="2"/>
      <c r="E59" s="2"/>
      <c r="F59" s="2"/>
      <c r="G59" s="2"/>
      <c r="H59" s="2"/>
      <c r="I59" s="2"/>
      <c r="J59" s="2"/>
    </row>
    <row r="60" customFormat="false" ht="15.75" hidden="false" customHeight="true" outlineLevel="0" collapsed="false">
      <c r="A60" s="2"/>
      <c r="B60" s="2"/>
      <c r="C60" s="2"/>
      <c r="D60" s="2"/>
      <c r="E60" s="2"/>
      <c r="F60" s="2"/>
      <c r="G60" s="2"/>
      <c r="H60" s="2"/>
      <c r="I60" s="2"/>
      <c r="J60" s="2"/>
    </row>
    <row r="61" customFormat="false" ht="15.75" hidden="false" customHeight="true" outlineLevel="0" collapsed="false">
      <c r="A61" s="2"/>
      <c r="B61" s="2"/>
      <c r="C61" s="2"/>
      <c r="D61" s="2"/>
      <c r="E61" s="2"/>
      <c r="F61" s="2"/>
      <c r="G61" s="2"/>
      <c r="H61" s="2"/>
      <c r="I61" s="2"/>
      <c r="J61" s="2"/>
    </row>
    <row r="62" customFormat="false" ht="15.75" hidden="false" customHeight="true" outlineLevel="0" collapsed="false">
      <c r="A62" s="2"/>
      <c r="B62" s="2"/>
      <c r="C62" s="2"/>
      <c r="D62" s="2"/>
      <c r="E62" s="2"/>
      <c r="F62" s="2"/>
      <c r="G62" s="2"/>
      <c r="H62" s="2"/>
      <c r="I62" s="2"/>
      <c r="J62" s="2"/>
    </row>
    <row r="63" customFormat="false" ht="15.75" hidden="false" customHeight="true" outlineLevel="0" collapsed="false">
      <c r="A63" s="2"/>
      <c r="B63" s="2"/>
      <c r="C63" s="2"/>
      <c r="D63" s="2"/>
      <c r="E63" s="2"/>
      <c r="F63" s="2"/>
      <c r="G63" s="2"/>
      <c r="H63" s="2"/>
      <c r="I63" s="2"/>
      <c r="J63" s="2"/>
    </row>
    <row r="64" customFormat="false" ht="15.75" hidden="false" customHeight="true" outlineLevel="0" collapsed="false">
      <c r="A64" s="2"/>
      <c r="B64" s="2"/>
      <c r="C64" s="2"/>
      <c r="D64" s="2"/>
      <c r="E64" s="2"/>
      <c r="F64" s="2"/>
      <c r="G64" s="2"/>
      <c r="H64" s="2"/>
      <c r="I64" s="2"/>
      <c r="J64" s="2"/>
    </row>
    <row r="65" customFormat="false" ht="15.75" hidden="false" customHeight="true" outlineLevel="0" collapsed="false">
      <c r="A65" s="2"/>
      <c r="B65" s="2"/>
      <c r="C65" s="2"/>
      <c r="D65" s="2"/>
      <c r="E65" s="2"/>
      <c r="F65" s="2"/>
      <c r="G65" s="2"/>
      <c r="H65" s="2"/>
      <c r="I65" s="2"/>
      <c r="J65" s="2"/>
    </row>
    <row r="66" customFormat="false" ht="15.75" hidden="false" customHeight="true" outlineLevel="0" collapsed="false">
      <c r="A66" s="2"/>
      <c r="B66" s="2"/>
      <c r="C66" s="2"/>
      <c r="D66" s="2"/>
      <c r="E66" s="2"/>
      <c r="F66" s="2"/>
      <c r="G66" s="2"/>
      <c r="H66" s="2"/>
      <c r="I66" s="2"/>
      <c r="J66" s="2"/>
    </row>
    <row r="67" customFormat="false" ht="15.75" hidden="false" customHeight="true" outlineLevel="0" collapsed="false">
      <c r="A67" s="2"/>
      <c r="B67" s="2"/>
      <c r="C67" s="2"/>
      <c r="D67" s="2"/>
      <c r="E67" s="2"/>
      <c r="F67" s="2"/>
      <c r="G67" s="2"/>
      <c r="H67" s="2"/>
      <c r="I67" s="2"/>
      <c r="J67" s="2"/>
    </row>
    <row r="68" customFormat="false" ht="15.75" hidden="false" customHeight="true" outlineLevel="0" collapsed="false">
      <c r="A68" s="2"/>
      <c r="B68" s="2"/>
      <c r="C68" s="2"/>
      <c r="D68" s="2"/>
      <c r="E68" s="2"/>
      <c r="F68" s="2"/>
      <c r="G68" s="2"/>
      <c r="H68" s="2"/>
      <c r="I68" s="2"/>
      <c r="J68" s="2"/>
    </row>
    <row r="69" customFormat="false" ht="15.75" hidden="false" customHeight="true" outlineLevel="0" collapsed="false">
      <c r="A69" s="2"/>
      <c r="B69" s="2"/>
      <c r="C69" s="2"/>
      <c r="D69" s="2"/>
      <c r="E69" s="2"/>
      <c r="F69" s="2"/>
      <c r="G69" s="2"/>
      <c r="H69" s="2"/>
      <c r="I69" s="2"/>
      <c r="J69" s="2"/>
    </row>
    <row r="70" customFormat="false" ht="15.75" hidden="false" customHeight="true" outlineLevel="0" collapsed="false">
      <c r="A70" s="2"/>
      <c r="B70" s="2"/>
      <c r="C70" s="2"/>
      <c r="D70" s="2"/>
      <c r="E70" s="2"/>
      <c r="F70" s="2"/>
      <c r="G70" s="2"/>
      <c r="H70" s="2"/>
      <c r="I70" s="2"/>
      <c r="J70" s="2"/>
    </row>
    <row r="71" customFormat="false" ht="15.75" hidden="false" customHeight="true" outlineLevel="0" collapsed="false">
      <c r="A71" s="2"/>
      <c r="B71" s="2"/>
      <c r="C71" s="2"/>
      <c r="D71" s="2"/>
      <c r="E71" s="2"/>
      <c r="F71" s="2"/>
      <c r="G71" s="2"/>
      <c r="H71" s="2"/>
      <c r="I71" s="2"/>
      <c r="J71" s="2"/>
    </row>
    <row r="72" customFormat="false" ht="15.75" hidden="false" customHeight="true" outlineLevel="0" collapsed="false">
      <c r="A72" s="2"/>
      <c r="B72" s="2"/>
      <c r="C72" s="2"/>
      <c r="D72" s="2"/>
      <c r="E72" s="2"/>
      <c r="F72" s="2"/>
      <c r="G72" s="2"/>
      <c r="H72" s="2"/>
      <c r="I72" s="2"/>
      <c r="J72" s="2"/>
    </row>
    <row r="73" customFormat="false" ht="15.75" hidden="false" customHeight="true" outlineLevel="0" collapsed="false">
      <c r="A73" s="2"/>
      <c r="B73" s="2"/>
      <c r="C73" s="2"/>
      <c r="D73" s="2"/>
      <c r="E73" s="2"/>
      <c r="F73" s="2"/>
      <c r="G73" s="2"/>
      <c r="H73" s="2"/>
      <c r="I73" s="2"/>
      <c r="J73" s="2"/>
    </row>
    <row r="74" customFormat="false" ht="15.75" hidden="false" customHeight="true" outlineLevel="0" collapsed="false">
      <c r="A74" s="2"/>
      <c r="B74" s="2"/>
      <c r="C74" s="2"/>
      <c r="D74" s="2"/>
      <c r="E74" s="2"/>
      <c r="F74" s="2"/>
      <c r="G74" s="2"/>
      <c r="H74" s="2"/>
      <c r="I74" s="2"/>
      <c r="J74" s="2"/>
    </row>
    <row r="75" customFormat="false" ht="15.75" hidden="false" customHeight="true" outlineLevel="0" collapsed="false">
      <c r="A75" s="2"/>
      <c r="B75" s="2"/>
      <c r="C75" s="2"/>
      <c r="D75" s="2"/>
      <c r="E75" s="2"/>
      <c r="F75" s="2"/>
      <c r="G75" s="2"/>
      <c r="H75" s="2"/>
      <c r="I75" s="2"/>
      <c r="J75" s="2"/>
    </row>
    <row r="76" customFormat="false" ht="15.75" hidden="false" customHeight="true" outlineLevel="0" collapsed="false">
      <c r="A76" s="2"/>
      <c r="B76" s="2"/>
      <c r="C76" s="2"/>
      <c r="D76" s="2"/>
      <c r="E76" s="2"/>
      <c r="F76" s="2"/>
      <c r="G76" s="2"/>
      <c r="H76" s="2"/>
      <c r="I76" s="2"/>
      <c r="J76" s="2"/>
    </row>
    <row r="77" customFormat="false" ht="15.75" hidden="false" customHeight="true" outlineLevel="0" collapsed="false">
      <c r="A77" s="2"/>
      <c r="B77" s="2"/>
      <c r="C77" s="2"/>
      <c r="D77" s="2"/>
      <c r="E77" s="2"/>
      <c r="F77" s="2"/>
      <c r="G77" s="2"/>
      <c r="H77" s="2"/>
      <c r="I77" s="2"/>
      <c r="J77" s="2"/>
    </row>
    <row r="78" customFormat="false" ht="15.75" hidden="false" customHeight="true" outlineLevel="0" collapsed="false">
      <c r="A78" s="2"/>
      <c r="B78" s="2"/>
      <c r="C78" s="2"/>
      <c r="D78" s="2"/>
      <c r="E78" s="2"/>
      <c r="F78" s="2"/>
      <c r="G78" s="2"/>
      <c r="H78" s="2"/>
      <c r="I78" s="2"/>
      <c r="J78" s="2"/>
    </row>
    <row r="79" customFormat="false" ht="15.75" hidden="false" customHeight="true" outlineLevel="0" collapsed="false">
      <c r="A79" s="2"/>
      <c r="B79" s="2"/>
      <c r="C79" s="2"/>
      <c r="D79" s="2"/>
      <c r="E79" s="2"/>
      <c r="F79" s="2"/>
      <c r="G79" s="2"/>
      <c r="H79" s="2"/>
      <c r="I79" s="2"/>
      <c r="J79" s="2"/>
    </row>
    <row r="80" customFormat="false" ht="15.75" hidden="false" customHeight="true" outlineLevel="0" collapsed="false">
      <c r="A80" s="2"/>
      <c r="B80" s="2"/>
      <c r="C80" s="2"/>
      <c r="D80" s="2"/>
      <c r="E80" s="2"/>
      <c r="F80" s="2"/>
      <c r="G80" s="2"/>
      <c r="H80" s="2"/>
      <c r="I80" s="2"/>
      <c r="J80" s="2"/>
    </row>
    <row r="81" customFormat="false" ht="15.75" hidden="false" customHeight="true" outlineLevel="0" collapsed="false">
      <c r="A81" s="2"/>
      <c r="B81" s="2"/>
      <c r="C81" s="2"/>
      <c r="D81" s="2"/>
      <c r="E81" s="2"/>
      <c r="F81" s="2"/>
      <c r="G81" s="2"/>
      <c r="H81" s="2"/>
      <c r="I81" s="2"/>
      <c r="J81" s="2"/>
    </row>
    <row r="82" customFormat="false" ht="15.75" hidden="false" customHeight="true" outlineLevel="0" collapsed="false">
      <c r="A82" s="2"/>
      <c r="B82" s="2"/>
      <c r="C82" s="2"/>
      <c r="D82" s="2"/>
      <c r="E82" s="2"/>
      <c r="F82" s="2"/>
      <c r="G82" s="2"/>
      <c r="H82" s="2"/>
      <c r="I82" s="2"/>
      <c r="J82" s="2"/>
    </row>
    <row r="83" customFormat="false" ht="15.75" hidden="false" customHeight="true" outlineLevel="0" collapsed="false">
      <c r="A83" s="2"/>
      <c r="B83" s="2"/>
      <c r="C83" s="2"/>
      <c r="D83" s="2"/>
      <c r="E83" s="2"/>
      <c r="F83" s="2"/>
      <c r="G83" s="2"/>
      <c r="H83" s="2"/>
      <c r="I83" s="2"/>
      <c r="J83" s="2"/>
    </row>
    <row r="84" customFormat="false" ht="15.75" hidden="false" customHeight="true" outlineLevel="0" collapsed="false">
      <c r="A84" s="2"/>
      <c r="B84" s="2"/>
      <c r="C84" s="2"/>
      <c r="D84" s="2"/>
      <c r="E84" s="2"/>
      <c r="F84" s="2"/>
      <c r="G84" s="2"/>
      <c r="H84" s="2"/>
      <c r="I84" s="2"/>
      <c r="J84" s="2"/>
    </row>
    <row r="85" customFormat="false" ht="15.75" hidden="false" customHeight="true" outlineLevel="0" collapsed="false">
      <c r="A85" s="2"/>
      <c r="B85" s="2"/>
      <c r="C85" s="2"/>
      <c r="D85" s="2"/>
      <c r="E85" s="2"/>
      <c r="F85" s="2"/>
      <c r="G85" s="2"/>
      <c r="H85" s="2"/>
      <c r="I85" s="2"/>
      <c r="J85" s="2"/>
    </row>
    <row r="86" customFormat="false" ht="15.75" hidden="false" customHeight="true" outlineLevel="0" collapsed="false">
      <c r="A86" s="2"/>
      <c r="B86" s="2"/>
      <c r="C86" s="2"/>
      <c r="D86" s="2"/>
      <c r="E86" s="2"/>
      <c r="F86" s="2"/>
      <c r="G86" s="2"/>
      <c r="H86" s="2"/>
      <c r="I86" s="2"/>
      <c r="J86" s="2"/>
    </row>
    <row r="87" customFormat="false" ht="15.75" hidden="false" customHeight="true" outlineLevel="0" collapsed="false">
      <c r="A87" s="2"/>
      <c r="B87" s="2"/>
      <c r="C87" s="2"/>
      <c r="D87" s="2"/>
      <c r="E87" s="2"/>
      <c r="F87" s="2"/>
      <c r="G87" s="2"/>
      <c r="H87" s="2"/>
      <c r="I87" s="2"/>
      <c r="J87" s="2"/>
    </row>
    <row r="88" customFormat="false" ht="15.75" hidden="false" customHeight="true" outlineLevel="0" collapsed="false">
      <c r="A88" s="2"/>
      <c r="B88" s="2"/>
      <c r="C88" s="2"/>
      <c r="D88" s="2"/>
      <c r="E88" s="2"/>
      <c r="F88" s="2"/>
      <c r="G88" s="2"/>
      <c r="H88" s="2"/>
      <c r="I88" s="2"/>
      <c r="J88" s="2"/>
    </row>
    <row r="89" customFormat="false" ht="15.75" hidden="false" customHeight="true" outlineLevel="0" collapsed="false">
      <c r="A89" s="2"/>
      <c r="B89" s="2"/>
      <c r="C89" s="2"/>
      <c r="D89" s="2"/>
      <c r="E89" s="2"/>
      <c r="F89" s="2"/>
      <c r="G89" s="2"/>
      <c r="H89" s="2"/>
      <c r="I89" s="2"/>
      <c r="J89" s="2"/>
    </row>
    <row r="90" customFormat="false" ht="15.75" hidden="false" customHeight="true" outlineLevel="0" collapsed="false">
      <c r="A90" s="2"/>
      <c r="B90" s="2"/>
      <c r="C90" s="2"/>
      <c r="D90" s="2"/>
      <c r="E90" s="2"/>
      <c r="F90" s="2"/>
      <c r="G90" s="2"/>
      <c r="H90" s="2"/>
      <c r="I90" s="2"/>
      <c r="J90" s="2"/>
    </row>
    <row r="91" customFormat="false" ht="15.75" hidden="false" customHeight="true" outlineLevel="0" collapsed="false">
      <c r="A91" s="2"/>
      <c r="B91" s="2"/>
      <c r="C91" s="2"/>
      <c r="D91" s="2"/>
      <c r="E91" s="2"/>
      <c r="F91" s="2"/>
      <c r="G91" s="2"/>
      <c r="H91" s="2"/>
      <c r="I91" s="2"/>
      <c r="J91" s="2"/>
    </row>
    <row r="92" customFormat="false" ht="15.75" hidden="false" customHeight="true" outlineLevel="0" collapsed="false">
      <c r="A92" s="2"/>
      <c r="B92" s="2"/>
      <c r="C92" s="2"/>
      <c r="D92" s="2"/>
      <c r="E92" s="2"/>
      <c r="F92" s="2"/>
      <c r="G92" s="2"/>
      <c r="H92" s="2"/>
      <c r="I92" s="2"/>
      <c r="J92" s="2"/>
    </row>
    <row r="93" customFormat="false" ht="15.75" hidden="false" customHeight="true" outlineLevel="0" collapsed="false">
      <c r="A93" s="2"/>
      <c r="B93" s="2"/>
      <c r="C93" s="2"/>
      <c r="D93" s="2"/>
      <c r="E93" s="2"/>
      <c r="F93" s="2"/>
      <c r="G93" s="2"/>
      <c r="H93" s="2"/>
      <c r="I93" s="2"/>
      <c r="J93" s="2"/>
    </row>
    <row r="94" customFormat="false" ht="15.75" hidden="false" customHeight="true" outlineLevel="0" collapsed="false">
      <c r="A94" s="2"/>
      <c r="B94" s="2"/>
      <c r="C94" s="2"/>
      <c r="D94" s="2"/>
      <c r="E94" s="2"/>
      <c r="F94" s="2"/>
      <c r="G94" s="2"/>
      <c r="H94" s="2"/>
      <c r="I94" s="2"/>
      <c r="J94" s="2"/>
    </row>
    <row r="95" customFormat="false" ht="15.75" hidden="false" customHeight="true" outlineLevel="0" collapsed="false">
      <c r="A95" s="2"/>
      <c r="B95" s="2"/>
      <c r="C95" s="2"/>
      <c r="D95" s="2"/>
      <c r="E95" s="2"/>
      <c r="F95" s="2"/>
      <c r="G95" s="2"/>
      <c r="H95" s="2"/>
      <c r="I95" s="2"/>
      <c r="J95" s="2"/>
    </row>
    <row r="96" customFormat="false" ht="15.75" hidden="false" customHeight="true" outlineLevel="0" collapsed="false">
      <c r="A96" s="2"/>
      <c r="B96" s="2"/>
      <c r="C96" s="2"/>
      <c r="D96" s="2"/>
      <c r="E96" s="2"/>
      <c r="F96" s="2"/>
      <c r="G96" s="2"/>
      <c r="H96" s="2"/>
      <c r="I96" s="2"/>
      <c r="J96" s="2"/>
    </row>
    <row r="97" customFormat="false" ht="15.75" hidden="false" customHeight="true" outlineLevel="0" collapsed="false">
      <c r="A97" s="2"/>
      <c r="B97" s="2"/>
      <c r="C97" s="2"/>
      <c r="D97" s="2"/>
      <c r="E97" s="2"/>
      <c r="F97" s="2"/>
      <c r="G97" s="2"/>
      <c r="H97" s="2"/>
      <c r="I97" s="2"/>
      <c r="J97" s="2"/>
    </row>
    <row r="98" customFormat="false" ht="15.75" hidden="false" customHeight="true" outlineLevel="0" collapsed="false">
      <c r="A98" s="2"/>
      <c r="B98" s="2"/>
      <c r="C98" s="2"/>
      <c r="D98" s="2"/>
      <c r="E98" s="2"/>
      <c r="F98" s="2"/>
      <c r="G98" s="2"/>
      <c r="H98" s="2"/>
      <c r="I98" s="2"/>
      <c r="J98" s="2"/>
    </row>
    <row r="99" customFormat="false" ht="15.75" hidden="false" customHeight="true" outlineLevel="0" collapsed="false">
      <c r="A99" s="2"/>
      <c r="B99" s="2"/>
      <c r="C99" s="2"/>
      <c r="D99" s="2"/>
      <c r="E99" s="2"/>
      <c r="F99" s="2"/>
      <c r="G99" s="2"/>
      <c r="H99" s="2"/>
      <c r="I99" s="2"/>
      <c r="J99" s="2"/>
    </row>
    <row r="100" customFormat="false" ht="15.75" hidden="false" customHeight="true" outlineLevel="0" collapsed="false">
      <c r="A100" s="2"/>
      <c r="B100" s="2"/>
      <c r="C100" s="2"/>
      <c r="D100" s="2"/>
      <c r="E100" s="2"/>
      <c r="F100" s="2"/>
      <c r="G100" s="2"/>
      <c r="H100" s="2"/>
      <c r="I100" s="2"/>
      <c r="J100" s="2"/>
    </row>
    <row r="101" customFormat="false" ht="15.75" hidden="false" customHeight="true" outlineLevel="0" collapsed="false">
      <c r="A101" s="2"/>
      <c r="B101" s="2"/>
      <c r="C101" s="2"/>
      <c r="D101" s="2"/>
      <c r="E101" s="2"/>
      <c r="F101" s="2"/>
      <c r="G101" s="2"/>
      <c r="H101" s="2"/>
      <c r="I101" s="2"/>
      <c r="J101" s="2"/>
    </row>
    <row r="102" customFormat="false" ht="15.75" hidden="false" customHeight="true" outlineLevel="0" collapsed="false">
      <c r="A102" s="2"/>
      <c r="B102" s="2"/>
      <c r="C102" s="2"/>
      <c r="D102" s="2"/>
      <c r="E102" s="2"/>
      <c r="F102" s="2"/>
      <c r="G102" s="2"/>
      <c r="H102" s="2"/>
      <c r="I102" s="2"/>
      <c r="J102" s="2"/>
    </row>
    <row r="103" customFormat="false" ht="15.75" hidden="false" customHeight="true" outlineLevel="0" collapsed="false">
      <c r="A103" s="2"/>
      <c r="B103" s="2"/>
      <c r="C103" s="2"/>
      <c r="D103" s="2"/>
      <c r="E103" s="2"/>
      <c r="F103" s="2"/>
      <c r="G103" s="2"/>
      <c r="H103" s="2"/>
      <c r="I103" s="2"/>
      <c r="J103" s="2"/>
    </row>
    <row r="104" customFormat="false" ht="15.75" hidden="false" customHeight="true" outlineLevel="0" collapsed="false">
      <c r="A104" s="2"/>
      <c r="B104" s="2"/>
      <c r="C104" s="2"/>
      <c r="D104" s="2"/>
      <c r="E104" s="2"/>
      <c r="F104" s="2"/>
      <c r="G104" s="2"/>
      <c r="H104" s="2"/>
      <c r="I104" s="2"/>
      <c r="J104" s="2"/>
    </row>
    <row r="105" customFormat="false" ht="15.75" hidden="false" customHeight="true" outlineLevel="0" collapsed="false">
      <c r="A105" s="2"/>
      <c r="B105" s="2"/>
      <c r="C105" s="2"/>
      <c r="D105" s="2"/>
      <c r="E105" s="2"/>
      <c r="F105" s="2"/>
      <c r="G105" s="2"/>
      <c r="H105" s="2"/>
      <c r="I105" s="2"/>
      <c r="J105" s="2"/>
    </row>
    <row r="106" customFormat="false" ht="15.75" hidden="false" customHeight="true" outlineLevel="0" collapsed="false">
      <c r="A106" s="2"/>
      <c r="B106" s="2"/>
      <c r="C106" s="2"/>
      <c r="D106" s="2"/>
      <c r="E106" s="2"/>
      <c r="F106" s="2"/>
      <c r="G106" s="2"/>
      <c r="H106" s="2"/>
      <c r="I106" s="2"/>
      <c r="J106" s="2"/>
    </row>
    <row r="107" customFormat="false" ht="15.75" hidden="false" customHeight="true" outlineLevel="0" collapsed="false">
      <c r="A107" s="2"/>
      <c r="B107" s="2"/>
      <c r="C107" s="2"/>
      <c r="D107" s="2"/>
      <c r="E107" s="2"/>
      <c r="F107" s="2"/>
      <c r="G107" s="2"/>
      <c r="H107" s="2"/>
      <c r="I107" s="2"/>
      <c r="J107" s="2"/>
    </row>
    <row r="108" customFormat="false" ht="15.75" hidden="false" customHeight="true" outlineLevel="0" collapsed="false">
      <c r="A108" s="2"/>
      <c r="B108" s="2"/>
      <c r="C108" s="2"/>
      <c r="D108" s="2"/>
      <c r="E108" s="2"/>
      <c r="F108" s="2"/>
      <c r="G108" s="2"/>
      <c r="H108" s="2"/>
      <c r="I108" s="2"/>
      <c r="J108" s="2"/>
    </row>
    <row r="109" customFormat="false" ht="15.75" hidden="false" customHeight="true" outlineLevel="0" collapsed="false">
      <c r="A109" s="2"/>
      <c r="B109" s="2"/>
      <c r="C109" s="2"/>
      <c r="D109" s="2"/>
      <c r="E109" s="2"/>
      <c r="F109" s="2"/>
      <c r="G109" s="2"/>
      <c r="H109" s="2"/>
      <c r="I109" s="2"/>
      <c r="J109" s="2"/>
    </row>
    <row r="110" customFormat="false" ht="15.75" hidden="false" customHeight="true" outlineLevel="0" collapsed="false">
      <c r="A110" s="2"/>
      <c r="B110" s="2"/>
      <c r="C110" s="2"/>
      <c r="D110" s="2"/>
      <c r="E110" s="2"/>
      <c r="F110" s="2"/>
      <c r="G110" s="2"/>
      <c r="H110" s="2"/>
      <c r="I110" s="2"/>
      <c r="J110" s="2"/>
    </row>
    <row r="111" customFormat="false" ht="15.75" hidden="false" customHeight="true" outlineLevel="0" collapsed="false">
      <c r="A111" s="2"/>
      <c r="B111" s="2"/>
      <c r="C111" s="2"/>
      <c r="D111" s="2"/>
      <c r="E111" s="2"/>
      <c r="F111" s="2"/>
      <c r="G111" s="2"/>
      <c r="H111" s="2"/>
      <c r="I111" s="2"/>
      <c r="J111" s="2"/>
    </row>
    <row r="112" customFormat="false" ht="15.75" hidden="false" customHeight="true" outlineLevel="0" collapsed="false">
      <c r="A112" s="2"/>
      <c r="B112" s="2"/>
      <c r="C112" s="2"/>
      <c r="D112" s="2"/>
      <c r="E112" s="2"/>
      <c r="F112" s="2"/>
      <c r="G112" s="2"/>
      <c r="H112" s="2"/>
      <c r="I112" s="2"/>
      <c r="J112" s="2"/>
    </row>
    <row r="113" customFormat="false" ht="15.75" hidden="false" customHeight="true" outlineLevel="0" collapsed="false">
      <c r="A113" s="2"/>
      <c r="B113" s="2"/>
      <c r="C113" s="2"/>
      <c r="D113" s="2"/>
      <c r="E113" s="2"/>
      <c r="F113" s="2"/>
      <c r="G113" s="2"/>
      <c r="H113" s="2"/>
      <c r="I113" s="2"/>
      <c r="J113" s="2"/>
    </row>
    <row r="114" customFormat="false" ht="15.75" hidden="false" customHeight="true" outlineLevel="0" collapsed="false">
      <c r="A114" s="2"/>
      <c r="B114" s="2"/>
      <c r="C114" s="2"/>
      <c r="D114" s="2"/>
      <c r="E114" s="2"/>
      <c r="F114" s="2"/>
      <c r="G114" s="2"/>
      <c r="H114" s="2"/>
      <c r="I114" s="2"/>
      <c r="J114" s="2"/>
    </row>
    <row r="115" customFormat="false" ht="15.75" hidden="false" customHeight="true" outlineLevel="0" collapsed="false">
      <c r="A115" s="2"/>
      <c r="B115" s="2"/>
      <c r="C115" s="2"/>
      <c r="D115" s="2"/>
      <c r="E115" s="2"/>
      <c r="F115" s="2"/>
      <c r="G115" s="2"/>
      <c r="H115" s="2"/>
      <c r="I115" s="2"/>
      <c r="J115" s="2"/>
    </row>
    <row r="116" customFormat="false" ht="15.75" hidden="false" customHeight="true" outlineLevel="0" collapsed="false">
      <c r="A116" s="2"/>
      <c r="B116" s="2"/>
      <c r="C116" s="2"/>
      <c r="D116" s="2"/>
      <c r="E116" s="2"/>
      <c r="F116" s="2"/>
      <c r="G116" s="2"/>
      <c r="H116" s="2"/>
      <c r="I116" s="2"/>
      <c r="J116" s="2"/>
    </row>
    <row r="117" customFormat="false" ht="15.75" hidden="false" customHeight="true" outlineLevel="0" collapsed="false">
      <c r="A117" s="2"/>
      <c r="B117" s="2"/>
      <c r="C117" s="2"/>
      <c r="D117" s="2"/>
      <c r="E117" s="2"/>
      <c r="F117" s="2"/>
      <c r="G117" s="2"/>
      <c r="H117" s="2"/>
      <c r="I117" s="2"/>
      <c r="J117" s="2"/>
    </row>
    <row r="118" customFormat="false" ht="15.75" hidden="false" customHeight="true" outlineLevel="0" collapsed="false">
      <c r="A118" s="2"/>
      <c r="B118" s="2"/>
      <c r="C118" s="2"/>
      <c r="D118" s="2"/>
      <c r="E118" s="2"/>
      <c r="F118" s="2"/>
      <c r="G118" s="2"/>
      <c r="H118" s="2"/>
      <c r="I118" s="2"/>
      <c r="J118" s="2"/>
    </row>
    <row r="119" customFormat="false" ht="15.75" hidden="false" customHeight="true" outlineLevel="0" collapsed="false">
      <c r="A119" s="2"/>
      <c r="B119" s="2"/>
      <c r="C119" s="2"/>
      <c r="D119" s="2"/>
      <c r="E119" s="2"/>
      <c r="F119" s="2"/>
      <c r="G119" s="2"/>
      <c r="H119" s="2"/>
      <c r="I119" s="2"/>
      <c r="J119" s="2"/>
    </row>
    <row r="120" customFormat="false" ht="15.75" hidden="false" customHeight="true" outlineLevel="0" collapsed="false">
      <c r="A120" s="2"/>
      <c r="B120" s="2"/>
      <c r="C120" s="2"/>
      <c r="D120" s="2"/>
      <c r="E120" s="2"/>
      <c r="F120" s="2"/>
      <c r="G120" s="2"/>
      <c r="H120" s="2"/>
      <c r="I120" s="2"/>
      <c r="J120" s="2"/>
    </row>
    <row r="121" customFormat="false" ht="15.75" hidden="false" customHeight="true" outlineLevel="0" collapsed="false">
      <c r="A121" s="2"/>
      <c r="B121" s="2"/>
      <c r="C121" s="2"/>
      <c r="D121" s="2"/>
      <c r="E121" s="2"/>
      <c r="F121" s="2"/>
      <c r="G121" s="2"/>
      <c r="H121" s="2"/>
      <c r="I121" s="2"/>
      <c r="J121" s="2"/>
    </row>
    <row r="122" customFormat="false" ht="15.75" hidden="false" customHeight="true" outlineLevel="0" collapsed="false">
      <c r="A122" s="2"/>
      <c r="B122" s="2"/>
      <c r="C122" s="2"/>
      <c r="D122" s="2"/>
      <c r="E122" s="2"/>
      <c r="F122" s="2"/>
      <c r="G122" s="2"/>
      <c r="H122" s="2"/>
      <c r="I122" s="2"/>
      <c r="J122" s="2"/>
    </row>
    <row r="123" customFormat="false" ht="15.75" hidden="false" customHeight="true" outlineLevel="0" collapsed="false">
      <c r="A123" s="2"/>
      <c r="B123" s="2"/>
      <c r="C123" s="2"/>
      <c r="D123" s="2"/>
      <c r="E123" s="2"/>
      <c r="F123" s="2"/>
      <c r="G123" s="2"/>
      <c r="H123" s="2"/>
      <c r="I123" s="2"/>
      <c r="J123" s="2"/>
    </row>
    <row r="124" customFormat="false" ht="15.75" hidden="false" customHeight="true" outlineLevel="0" collapsed="false">
      <c r="A124" s="2"/>
      <c r="B124" s="2"/>
      <c r="C124" s="2"/>
      <c r="D124" s="2"/>
      <c r="E124" s="2"/>
      <c r="F124" s="2"/>
      <c r="G124" s="2"/>
      <c r="H124" s="2"/>
      <c r="I124" s="2"/>
      <c r="J124" s="2"/>
    </row>
    <row r="125" customFormat="false" ht="15.75" hidden="false" customHeight="true" outlineLevel="0" collapsed="false">
      <c r="A125" s="2"/>
      <c r="B125" s="2"/>
      <c r="C125" s="2"/>
      <c r="D125" s="2"/>
      <c r="E125" s="2"/>
      <c r="F125" s="2"/>
      <c r="G125" s="2"/>
      <c r="H125" s="2"/>
      <c r="I125" s="2"/>
      <c r="J125" s="2"/>
    </row>
    <row r="126" customFormat="false" ht="15.75" hidden="false" customHeight="true" outlineLevel="0" collapsed="false">
      <c r="A126" s="2"/>
      <c r="B126" s="2"/>
      <c r="C126" s="2"/>
      <c r="D126" s="2"/>
      <c r="E126" s="2"/>
      <c r="F126" s="2"/>
      <c r="G126" s="2"/>
      <c r="H126" s="2"/>
      <c r="I126" s="2"/>
      <c r="J126" s="2"/>
    </row>
    <row r="127" customFormat="false" ht="15.75" hidden="false" customHeight="true" outlineLevel="0" collapsed="false">
      <c r="A127" s="2"/>
      <c r="B127" s="2"/>
      <c r="C127" s="2"/>
      <c r="D127" s="2"/>
      <c r="E127" s="2"/>
      <c r="F127" s="2"/>
      <c r="G127" s="2"/>
      <c r="H127" s="2"/>
      <c r="I127" s="2"/>
      <c r="J127" s="2"/>
    </row>
    <row r="128" customFormat="false" ht="15.75" hidden="false" customHeight="true" outlineLevel="0" collapsed="false">
      <c r="A128" s="2"/>
      <c r="B128" s="2"/>
      <c r="C128" s="2"/>
      <c r="D128" s="2"/>
      <c r="E128" s="2"/>
      <c r="F128" s="2"/>
      <c r="G128" s="2"/>
      <c r="H128" s="2"/>
      <c r="I128" s="2"/>
      <c r="J128" s="2"/>
    </row>
    <row r="129" customFormat="false" ht="15.75" hidden="false" customHeight="true" outlineLevel="0" collapsed="false">
      <c r="A129" s="2"/>
      <c r="B129" s="2"/>
      <c r="C129" s="2"/>
      <c r="D129" s="2"/>
      <c r="E129" s="2"/>
      <c r="F129" s="2"/>
      <c r="G129" s="2"/>
      <c r="H129" s="2"/>
      <c r="I129" s="2"/>
      <c r="J129" s="2"/>
    </row>
    <row r="130" customFormat="false" ht="15.75" hidden="false" customHeight="true" outlineLevel="0" collapsed="false">
      <c r="A130" s="2"/>
      <c r="B130" s="2"/>
      <c r="C130" s="2"/>
      <c r="D130" s="2"/>
      <c r="E130" s="2"/>
      <c r="F130" s="2"/>
      <c r="G130" s="2"/>
      <c r="H130" s="2"/>
      <c r="I130" s="2"/>
      <c r="J130" s="2"/>
    </row>
    <row r="131" customFormat="false" ht="15.75" hidden="false" customHeight="true" outlineLevel="0" collapsed="false">
      <c r="A131" s="2"/>
      <c r="B131" s="2"/>
      <c r="C131" s="2"/>
      <c r="D131" s="2"/>
      <c r="E131" s="2"/>
      <c r="F131" s="2"/>
      <c r="G131" s="2"/>
      <c r="H131" s="2"/>
      <c r="I131" s="2"/>
      <c r="J131" s="2"/>
    </row>
    <row r="132" customFormat="false" ht="15.75" hidden="false" customHeight="true" outlineLevel="0" collapsed="false">
      <c r="A132" s="2"/>
      <c r="B132" s="2"/>
      <c r="C132" s="2"/>
      <c r="D132" s="2"/>
      <c r="E132" s="2"/>
      <c r="F132" s="2"/>
      <c r="G132" s="2"/>
      <c r="H132" s="2"/>
      <c r="I132" s="2"/>
      <c r="J132" s="2"/>
    </row>
    <row r="133" customFormat="false" ht="15.75" hidden="false" customHeight="true" outlineLevel="0" collapsed="false">
      <c r="A133" s="2"/>
      <c r="B133" s="2"/>
      <c r="C133" s="2"/>
      <c r="D133" s="2"/>
      <c r="E133" s="2"/>
      <c r="F133" s="2"/>
      <c r="G133" s="2"/>
      <c r="H133" s="2"/>
      <c r="I133" s="2"/>
      <c r="J133" s="2"/>
    </row>
    <row r="134" customFormat="false" ht="15.75" hidden="false" customHeight="true" outlineLevel="0" collapsed="false">
      <c r="A134" s="2"/>
      <c r="B134" s="2"/>
      <c r="C134" s="2"/>
      <c r="D134" s="2"/>
      <c r="E134" s="2"/>
      <c r="F134" s="2"/>
      <c r="G134" s="2"/>
      <c r="H134" s="2"/>
      <c r="I134" s="2"/>
      <c r="J134" s="2"/>
    </row>
    <row r="135" customFormat="false" ht="15.75" hidden="false" customHeight="true" outlineLevel="0" collapsed="false">
      <c r="A135" s="2"/>
      <c r="B135" s="2"/>
      <c r="C135" s="2"/>
      <c r="D135" s="2"/>
      <c r="E135" s="2"/>
      <c r="F135" s="2"/>
      <c r="G135" s="2"/>
      <c r="H135" s="2"/>
      <c r="I135" s="2"/>
      <c r="J135" s="2"/>
    </row>
    <row r="136" customFormat="false" ht="15.75" hidden="false" customHeight="true" outlineLevel="0" collapsed="false">
      <c r="A136" s="2"/>
      <c r="B136" s="2"/>
      <c r="C136" s="2"/>
      <c r="D136" s="2"/>
      <c r="E136" s="2"/>
      <c r="F136" s="2"/>
      <c r="G136" s="2"/>
      <c r="H136" s="2"/>
      <c r="I136" s="2"/>
      <c r="J136" s="2"/>
    </row>
    <row r="137" customFormat="false" ht="15.75" hidden="false" customHeight="true" outlineLevel="0" collapsed="false">
      <c r="A137" s="2"/>
      <c r="B137" s="2"/>
      <c r="C137" s="2"/>
      <c r="D137" s="2"/>
      <c r="E137" s="2"/>
      <c r="F137" s="2"/>
      <c r="G137" s="2"/>
      <c r="H137" s="2"/>
      <c r="I137" s="2"/>
      <c r="J137" s="2"/>
    </row>
    <row r="138" customFormat="false" ht="15.75" hidden="false" customHeight="true" outlineLevel="0" collapsed="false">
      <c r="A138" s="2"/>
      <c r="B138" s="2"/>
      <c r="C138" s="2"/>
      <c r="D138" s="2"/>
      <c r="E138" s="2"/>
      <c r="F138" s="2"/>
      <c r="G138" s="2"/>
      <c r="H138" s="2"/>
      <c r="I138" s="2"/>
      <c r="J138" s="2"/>
    </row>
    <row r="139" customFormat="false" ht="15.75" hidden="false" customHeight="true" outlineLevel="0" collapsed="false">
      <c r="A139" s="2"/>
      <c r="B139" s="2"/>
      <c r="C139" s="2"/>
      <c r="D139" s="2"/>
      <c r="E139" s="2"/>
      <c r="F139" s="2"/>
      <c r="G139" s="2"/>
      <c r="H139" s="2"/>
      <c r="I139" s="2"/>
      <c r="J139" s="2"/>
    </row>
    <row r="140" customFormat="false" ht="15.75" hidden="false" customHeight="true" outlineLevel="0" collapsed="false">
      <c r="A140" s="2"/>
      <c r="B140" s="2"/>
      <c r="C140" s="2"/>
      <c r="D140" s="2"/>
      <c r="E140" s="2"/>
      <c r="F140" s="2"/>
      <c r="G140" s="2"/>
      <c r="H140" s="2"/>
      <c r="I140" s="2"/>
      <c r="J140" s="2"/>
    </row>
    <row r="141" customFormat="false" ht="15.75" hidden="false" customHeight="true" outlineLevel="0" collapsed="false">
      <c r="A141" s="2"/>
      <c r="B141" s="2"/>
      <c r="C141" s="2"/>
      <c r="D141" s="2"/>
      <c r="E141" s="2"/>
      <c r="F141" s="2"/>
      <c r="G141" s="2"/>
      <c r="H141" s="2"/>
      <c r="I141" s="2"/>
      <c r="J141" s="2"/>
    </row>
    <row r="142" customFormat="false" ht="15.75" hidden="false" customHeight="true" outlineLevel="0" collapsed="false">
      <c r="A142" s="2"/>
      <c r="B142" s="2"/>
      <c r="C142" s="2"/>
      <c r="D142" s="2"/>
      <c r="E142" s="2"/>
      <c r="F142" s="2"/>
      <c r="G142" s="2"/>
      <c r="H142" s="2"/>
      <c r="I142" s="2"/>
      <c r="J142" s="2"/>
    </row>
    <row r="143" customFormat="false" ht="15.75" hidden="false" customHeight="true" outlineLevel="0" collapsed="false">
      <c r="A143" s="2"/>
      <c r="B143" s="2"/>
      <c r="C143" s="2"/>
      <c r="D143" s="2"/>
      <c r="E143" s="2"/>
      <c r="F143" s="2"/>
      <c r="G143" s="2"/>
      <c r="H143" s="2"/>
      <c r="I143" s="2"/>
      <c r="J143" s="2"/>
    </row>
    <row r="144" customFormat="false" ht="15.75" hidden="false" customHeight="true" outlineLevel="0" collapsed="false">
      <c r="A144" s="2"/>
      <c r="B144" s="2"/>
      <c r="C144" s="2"/>
      <c r="D144" s="2"/>
      <c r="E144" s="2"/>
      <c r="F144" s="2"/>
      <c r="G144" s="2"/>
      <c r="H144" s="2"/>
      <c r="I144" s="2"/>
      <c r="J144" s="2"/>
    </row>
    <row r="145" customFormat="false" ht="15.75" hidden="false" customHeight="true" outlineLevel="0" collapsed="false">
      <c r="A145" s="2"/>
      <c r="B145" s="2"/>
      <c r="C145" s="2"/>
      <c r="D145" s="2"/>
      <c r="E145" s="2"/>
      <c r="F145" s="2"/>
      <c r="G145" s="2"/>
      <c r="H145" s="2"/>
      <c r="I145" s="2"/>
      <c r="J145" s="2"/>
    </row>
    <row r="146" customFormat="false" ht="15.75" hidden="false" customHeight="true" outlineLevel="0" collapsed="false">
      <c r="A146" s="2"/>
      <c r="B146" s="2"/>
      <c r="C146" s="2"/>
      <c r="D146" s="2"/>
      <c r="E146" s="2"/>
      <c r="F146" s="2"/>
      <c r="G146" s="2"/>
      <c r="H146" s="2"/>
      <c r="I146" s="2"/>
      <c r="J146" s="2"/>
    </row>
    <row r="147" customFormat="false" ht="15.75" hidden="false" customHeight="true" outlineLevel="0" collapsed="false">
      <c r="A147" s="2"/>
      <c r="B147" s="2"/>
      <c r="C147" s="2"/>
      <c r="D147" s="2"/>
      <c r="E147" s="2"/>
      <c r="F147" s="2"/>
      <c r="G147" s="2"/>
      <c r="H147" s="2"/>
      <c r="I147" s="2"/>
      <c r="J147" s="2"/>
    </row>
    <row r="148" customFormat="false" ht="15.75" hidden="false" customHeight="true" outlineLevel="0" collapsed="false">
      <c r="A148" s="2"/>
      <c r="B148" s="2"/>
      <c r="C148" s="2"/>
      <c r="D148" s="2"/>
      <c r="E148" s="2"/>
      <c r="F148" s="2"/>
      <c r="G148" s="2"/>
      <c r="H148" s="2"/>
      <c r="I148" s="2"/>
      <c r="J148" s="2"/>
    </row>
    <row r="149" customFormat="false" ht="15.75" hidden="false" customHeight="true" outlineLevel="0" collapsed="false">
      <c r="A149" s="2"/>
      <c r="B149" s="2"/>
      <c r="C149" s="2"/>
      <c r="D149" s="2"/>
      <c r="E149" s="2"/>
      <c r="F149" s="2"/>
      <c r="G149" s="2"/>
      <c r="H149" s="2"/>
      <c r="I149" s="2"/>
      <c r="J149" s="2"/>
    </row>
    <row r="150" customFormat="false" ht="15.75" hidden="false" customHeight="true" outlineLevel="0" collapsed="false">
      <c r="A150" s="2"/>
      <c r="B150" s="2"/>
      <c r="C150" s="2"/>
      <c r="D150" s="2"/>
      <c r="E150" s="2"/>
      <c r="F150" s="2"/>
      <c r="G150" s="2"/>
      <c r="H150" s="2"/>
      <c r="I150" s="2"/>
      <c r="J150" s="2"/>
    </row>
    <row r="151" customFormat="false" ht="15.75" hidden="false" customHeight="true" outlineLevel="0" collapsed="false">
      <c r="A151" s="2"/>
      <c r="B151" s="2"/>
      <c r="C151" s="2"/>
      <c r="D151" s="2"/>
      <c r="E151" s="2"/>
      <c r="F151" s="2"/>
      <c r="G151" s="2"/>
      <c r="H151" s="2"/>
      <c r="I151" s="2"/>
      <c r="J151" s="2"/>
    </row>
    <row r="152" customFormat="false" ht="15.75" hidden="false" customHeight="true" outlineLevel="0" collapsed="false">
      <c r="A152" s="2"/>
      <c r="B152" s="2"/>
      <c r="C152" s="2"/>
      <c r="D152" s="2"/>
      <c r="E152" s="2"/>
      <c r="F152" s="2"/>
      <c r="G152" s="2"/>
      <c r="H152" s="2"/>
      <c r="I152" s="2"/>
      <c r="J152" s="2"/>
    </row>
    <row r="153" customFormat="false" ht="15.75" hidden="false" customHeight="true" outlineLevel="0" collapsed="false">
      <c r="A153" s="2"/>
      <c r="B153" s="2"/>
      <c r="C153" s="2"/>
      <c r="D153" s="2"/>
      <c r="E153" s="2"/>
      <c r="F153" s="2"/>
      <c r="G153" s="2"/>
      <c r="H153" s="2"/>
      <c r="I153" s="2"/>
      <c r="J153" s="2"/>
    </row>
    <row r="154" customFormat="false" ht="15.75" hidden="false" customHeight="true" outlineLevel="0" collapsed="false">
      <c r="A154" s="2"/>
      <c r="B154" s="2"/>
      <c r="C154" s="2"/>
      <c r="D154" s="2"/>
      <c r="E154" s="2"/>
      <c r="F154" s="2"/>
      <c r="G154" s="2"/>
      <c r="H154" s="2"/>
      <c r="I154" s="2"/>
      <c r="J154" s="2"/>
    </row>
    <row r="155" customFormat="false" ht="15.75" hidden="false" customHeight="true" outlineLevel="0" collapsed="false">
      <c r="A155" s="2"/>
      <c r="B155" s="2"/>
      <c r="C155" s="2"/>
      <c r="D155" s="2"/>
      <c r="E155" s="2"/>
      <c r="F155" s="2"/>
      <c r="G155" s="2"/>
      <c r="H155" s="2"/>
      <c r="I155" s="2"/>
      <c r="J155" s="2"/>
    </row>
    <row r="156" customFormat="false" ht="15.75" hidden="false" customHeight="true" outlineLevel="0" collapsed="false">
      <c r="A156" s="2"/>
      <c r="B156" s="2"/>
      <c r="C156" s="2"/>
      <c r="D156" s="2"/>
      <c r="E156" s="2"/>
      <c r="F156" s="2"/>
      <c r="G156" s="2"/>
      <c r="H156" s="2"/>
      <c r="I156" s="2"/>
      <c r="J156" s="2"/>
    </row>
    <row r="157" customFormat="false" ht="15.75" hidden="false" customHeight="true" outlineLevel="0" collapsed="false">
      <c r="A157" s="2"/>
      <c r="B157" s="2"/>
      <c r="C157" s="2"/>
      <c r="D157" s="2"/>
      <c r="E157" s="2"/>
      <c r="F157" s="2"/>
      <c r="G157" s="2"/>
      <c r="H157" s="2"/>
      <c r="I157" s="2"/>
      <c r="J157" s="2"/>
    </row>
    <row r="158" customFormat="false" ht="15.75" hidden="false" customHeight="true" outlineLevel="0" collapsed="false">
      <c r="A158" s="2"/>
      <c r="B158" s="2"/>
      <c r="C158" s="2"/>
      <c r="D158" s="2"/>
      <c r="E158" s="2"/>
      <c r="F158" s="2"/>
      <c r="G158" s="2"/>
      <c r="H158" s="2"/>
      <c r="I158" s="2"/>
      <c r="J158" s="2"/>
    </row>
    <row r="159" customFormat="false" ht="15.75" hidden="false" customHeight="true" outlineLevel="0" collapsed="false">
      <c r="A159" s="2"/>
      <c r="B159" s="2"/>
      <c r="C159" s="2"/>
      <c r="D159" s="2"/>
      <c r="E159" s="2"/>
      <c r="F159" s="2"/>
      <c r="G159" s="2"/>
      <c r="H159" s="2"/>
      <c r="I159" s="2"/>
      <c r="J159" s="2"/>
    </row>
    <row r="160" customFormat="false" ht="15.75" hidden="false" customHeight="true" outlineLevel="0" collapsed="false">
      <c r="A160" s="2"/>
      <c r="B160" s="2"/>
      <c r="C160" s="2"/>
      <c r="D160" s="2"/>
      <c r="E160" s="2"/>
      <c r="F160" s="2"/>
      <c r="G160" s="2"/>
      <c r="H160" s="2"/>
      <c r="I160" s="2"/>
      <c r="J160" s="2"/>
    </row>
    <row r="161" customFormat="false" ht="15.75" hidden="false" customHeight="true" outlineLevel="0" collapsed="false">
      <c r="A161" s="2"/>
      <c r="B161" s="2"/>
      <c r="C161" s="2"/>
      <c r="D161" s="2"/>
      <c r="E161" s="2"/>
      <c r="F161" s="2"/>
      <c r="G161" s="2"/>
      <c r="H161" s="2"/>
      <c r="I161" s="2"/>
      <c r="J161" s="2"/>
    </row>
    <row r="162" customFormat="false" ht="15.75" hidden="false" customHeight="true" outlineLevel="0" collapsed="false">
      <c r="A162" s="2"/>
      <c r="B162" s="2"/>
      <c r="C162" s="2"/>
      <c r="D162" s="2"/>
      <c r="E162" s="2"/>
      <c r="F162" s="2"/>
      <c r="G162" s="2"/>
      <c r="H162" s="2"/>
      <c r="I162" s="2"/>
      <c r="J162" s="2"/>
    </row>
    <row r="163" customFormat="false" ht="15.75" hidden="false" customHeight="true" outlineLevel="0" collapsed="false">
      <c r="A163" s="2"/>
      <c r="B163" s="2"/>
      <c r="C163" s="2"/>
      <c r="D163" s="2"/>
      <c r="E163" s="2"/>
      <c r="F163" s="2"/>
      <c r="G163" s="2"/>
      <c r="H163" s="2"/>
      <c r="I163" s="2"/>
      <c r="J163" s="2"/>
    </row>
    <row r="164" customFormat="false" ht="15.75" hidden="false" customHeight="true" outlineLevel="0" collapsed="false">
      <c r="A164" s="2"/>
      <c r="B164" s="2"/>
      <c r="C164" s="2"/>
      <c r="D164" s="2"/>
      <c r="E164" s="2"/>
      <c r="F164" s="2"/>
      <c r="G164" s="2"/>
      <c r="H164" s="2"/>
      <c r="I164" s="2"/>
      <c r="J164" s="2"/>
    </row>
    <row r="165" customFormat="false" ht="15.75" hidden="false" customHeight="true" outlineLevel="0" collapsed="false">
      <c r="A165" s="2"/>
      <c r="B165" s="2"/>
      <c r="C165" s="2"/>
      <c r="D165" s="2"/>
      <c r="E165" s="2"/>
      <c r="F165" s="2"/>
      <c r="G165" s="2"/>
      <c r="H165" s="2"/>
      <c r="I165" s="2"/>
      <c r="J165" s="2"/>
    </row>
    <row r="166" customFormat="false" ht="15.75" hidden="false" customHeight="true" outlineLevel="0" collapsed="false">
      <c r="A166" s="2"/>
      <c r="B166" s="2"/>
      <c r="C166" s="2"/>
      <c r="D166" s="2"/>
      <c r="E166" s="2"/>
      <c r="F166" s="2"/>
      <c r="G166" s="2"/>
      <c r="H166" s="2"/>
      <c r="I166" s="2"/>
      <c r="J166" s="2"/>
    </row>
    <row r="167" customFormat="false" ht="15.75" hidden="false" customHeight="true" outlineLevel="0" collapsed="false">
      <c r="A167" s="2"/>
      <c r="B167" s="2"/>
      <c r="C167" s="2"/>
      <c r="D167" s="2"/>
      <c r="E167" s="2"/>
      <c r="F167" s="2"/>
      <c r="G167" s="2"/>
      <c r="H167" s="2"/>
      <c r="I167" s="2"/>
      <c r="J167" s="2"/>
    </row>
    <row r="168" customFormat="false" ht="15.75" hidden="false" customHeight="true" outlineLevel="0" collapsed="false">
      <c r="A168" s="2"/>
      <c r="B168" s="2"/>
      <c r="C168" s="2"/>
      <c r="D168" s="2"/>
      <c r="E168" s="2"/>
      <c r="F168" s="2"/>
      <c r="G168" s="2"/>
      <c r="H168" s="2"/>
      <c r="I168" s="2"/>
      <c r="J168" s="2"/>
    </row>
    <row r="169" customFormat="false" ht="15.75" hidden="false" customHeight="true" outlineLevel="0" collapsed="false">
      <c r="A169" s="2"/>
      <c r="B169" s="2"/>
      <c r="C169" s="2"/>
      <c r="D169" s="2"/>
      <c r="E169" s="2"/>
      <c r="F169" s="2"/>
      <c r="G169" s="2"/>
      <c r="H169" s="2"/>
      <c r="I169" s="2"/>
      <c r="J169" s="2"/>
    </row>
    <row r="170" customFormat="false" ht="15.75" hidden="false" customHeight="true" outlineLevel="0" collapsed="false">
      <c r="A170" s="2"/>
      <c r="B170" s="2"/>
      <c r="C170" s="2"/>
      <c r="D170" s="2"/>
      <c r="E170" s="2"/>
      <c r="F170" s="2"/>
      <c r="G170" s="2"/>
      <c r="H170" s="2"/>
      <c r="I170" s="2"/>
      <c r="J170" s="2"/>
    </row>
    <row r="171" customFormat="false" ht="15.75" hidden="false" customHeight="true" outlineLevel="0" collapsed="false">
      <c r="A171" s="2"/>
      <c r="B171" s="2"/>
      <c r="C171" s="2"/>
      <c r="D171" s="2"/>
      <c r="E171" s="2"/>
      <c r="F171" s="2"/>
      <c r="G171" s="2"/>
      <c r="H171" s="2"/>
      <c r="I171" s="2"/>
      <c r="J171" s="2"/>
    </row>
    <row r="172" customFormat="false" ht="15.75" hidden="false" customHeight="true" outlineLevel="0" collapsed="false">
      <c r="A172" s="2"/>
      <c r="B172" s="2"/>
      <c r="C172" s="2"/>
      <c r="D172" s="2"/>
      <c r="E172" s="2"/>
      <c r="F172" s="2"/>
      <c r="G172" s="2"/>
      <c r="H172" s="2"/>
      <c r="I172" s="2"/>
      <c r="J172" s="2"/>
    </row>
    <row r="173" customFormat="false" ht="15.75" hidden="false" customHeight="true" outlineLevel="0" collapsed="false">
      <c r="A173" s="2"/>
      <c r="B173" s="2"/>
      <c r="C173" s="2"/>
      <c r="D173" s="2"/>
      <c r="E173" s="2"/>
      <c r="F173" s="2"/>
      <c r="G173" s="2"/>
      <c r="H173" s="2"/>
      <c r="I173" s="2"/>
      <c r="J173" s="2"/>
    </row>
    <row r="174" customFormat="false" ht="15.75" hidden="false" customHeight="true" outlineLevel="0" collapsed="false">
      <c r="A174" s="2"/>
      <c r="B174" s="2"/>
      <c r="C174" s="2"/>
      <c r="D174" s="2"/>
      <c r="E174" s="2"/>
      <c r="F174" s="2"/>
      <c r="G174" s="2"/>
      <c r="H174" s="2"/>
      <c r="I174" s="2"/>
      <c r="J174" s="2"/>
    </row>
    <row r="175" customFormat="false" ht="15.75" hidden="false" customHeight="true" outlineLevel="0" collapsed="false">
      <c r="A175" s="2"/>
      <c r="B175" s="2"/>
      <c r="C175" s="2"/>
      <c r="D175" s="2"/>
      <c r="E175" s="2"/>
      <c r="F175" s="2"/>
      <c r="G175" s="2"/>
      <c r="H175" s="2"/>
      <c r="I175" s="2"/>
      <c r="J175" s="2"/>
    </row>
    <row r="176" customFormat="false" ht="15.75" hidden="false" customHeight="true" outlineLevel="0" collapsed="false">
      <c r="A176" s="2"/>
      <c r="B176" s="2"/>
      <c r="C176" s="2"/>
      <c r="D176" s="2"/>
      <c r="E176" s="2"/>
      <c r="F176" s="2"/>
      <c r="G176" s="2"/>
      <c r="H176" s="2"/>
      <c r="I176" s="2"/>
      <c r="J176" s="2"/>
    </row>
    <row r="177" customFormat="false" ht="15.75" hidden="false" customHeight="true" outlineLevel="0" collapsed="false">
      <c r="A177" s="2"/>
      <c r="B177" s="2"/>
      <c r="C177" s="2"/>
      <c r="D177" s="2"/>
      <c r="E177" s="2"/>
      <c r="F177" s="2"/>
      <c r="G177" s="2"/>
      <c r="H177" s="2"/>
      <c r="I177" s="2"/>
      <c r="J177" s="2"/>
    </row>
    <row r="178" customFormat="false" ht="15.75" hidden="false" customHeight="true" outlineLevel="0" collapsed="false">
      <c r="A178" s="2"/>
      <c r="B178" s="2"/>
      <c r="C178" s="2"/>
      <c r="D178" s="2"/>
      <c r="E178" s="2"/>
      <c r="F178" s="2"/>
      <c r="G178" s="2"/>
      <c r="H178" s="2"/>
      <c r="I178" s="2"/>
      <c r="J178" s="2"/>
    </row>
    <row r="179" customFormat="false" ht="15.75" hidden="false" customHeight="true" outlineLevel="0" collapsed="false">
      <c r="A179" s="2"/>
      <c r="B179" s="2"/>
      <c r="C179" s="2"/>
      <c r="D179" s="2"/>
      <c r="E179" s="2"/>
      <c r="F179" s="2"/>
      <c r="G179" s="2"/>
      <c r="H179" s="2"/>
      <c r="I179" s="2"/>
      <c r="J179" s="2"/>
    </row>
    <row r="180" customFormat="false" ht="15.75" hidden="false" customHeight="true" outlineLevel="0" collapsed="false">
      <c r="A180" s="2"/>
      <c r="B180" s="2"/>
      <c r="C180" s="2"/>
      <c r="D180" s="2"/>
      <c r="E180" s="2"/>
      <c r="F180" s="2"/>
      <c r="G180" s="2"/>
      <c r="H180" s="2"/>
      <c r="I180" s="2"/>
      <c r="J180" s="2"/>
    </row>
    <row r="181" customFormat="false" ht="15.75" hidden="false" customHeight="true" outlineLevel="0" collapsed="false">
      <c r="A181" s="2"/>
      <c r="B181" s="2"/>
      <c r="C181" s="2"/>
      <c r="D181" s="2"/>
      <c r="E181" s="2"/>
      <c r="F181" s="2"/>
      <c r="G181" s="2"/>
      <c r="H181" s="2"/>
      <c r="I181" s="2"/>
      <c r="J181" s="2"/>
    </row>
    <row r="182" customFormat="false" ht="15.75" hidden="false" customHeight="true" outlineLevel="0" collapsed="false">
      <c r="A182" s="2"/>
      <c r="B182" s="2"/>
      <c r="C182" s="2"/>
      <c r="D182" s="2"/>
      <c r="E182" s="2"/>
      <c r="F182" s="2"/>
      <c r="G182" s="2"/>
      <c r="H182" s="2"/>
      <c r="I182" s="2"/>
      <c r="J182" s="2"/>
    </row>
    <row r="183" customFormat="false" ht="15.75" hidden="false" customHeight="true" outlineLevel="0" collapsed="false">
      <c r="A183" s="2"/>
      <c r="B183" s="2"/>
      <c r="C183" s="2"/>
      <c r="D183" s="2"/>
      <c r="E183" s="2"/>
      <c r="F183" s="2"/>
      <c r="G183" s="2"/>
      <c r="H183" s="2"/>
      <c r="I183" s="2"/>
      <c r="J183" s="2"/>
    </row>
    <row r="184" customFormat="false" ht="15.75" hidden="false" customHeight="true" outlineLevel="0" collapsed="false">
      <c r="A184" s="2"/>
      <c r="B184" s="2"/>
      <c r="C184" s="2"/>
      <c r="D184" s="2"/>
      <c r="E184" s="2"/>
      <c r="F184" s="2"/>
      <c r="G184" s="2"/>
      <c r="H184" s="2"/>
      <c r="I184" s="2"/>
      <c r="J184" s="2"/>
    </row>
    <row r="185" customFormat="false" ht="15.75" hidden="false" customHeight="true" outlineLevel="0" collapsed="false">
      <c r="A185" s="2"/>
      <c r="B185" s="2"/>
      <c r="C185" s="2"/>
      <c r="D185" s="2"/>
      <c r="E185" s="2"/>
      <c r="F185" s="2"/>
      <c r="G185" s="2"/>
      <c r="H185" s="2"/>
      <c r="I185" s="2"/>
      <c r="J185" s="2"/>
    </row>
    <row r="186" customFormat="false" ht="15.75" hidden="false" customHeight="true" outlineLevel="0" collapsed="false">
      <c r="A186" s="2"/>
      <c r="B186" s="2"/>
      <c r="C186" s="2"/>
      <c r="D186" s="2"/>
      <c r="E186" s="2"/>
      <c r="F186" s="2"/>
      <c r="G186" s="2"/>
      <c r="H186" s="2"/>
      <c r="I186" s="2"/>
      <c r="J186" s="2"/>
    </row>
    <row r="187" customFormat="false" ht="15.75" hidden="false" customHeight="true" outlineLevel="0" collapsed="false">
      <c r="A187" s="2"/>
      <c r="B187" s="2"/>
      <c r="C187" s="2"/>
      <c r="D187" s="2"/>
      <c r="E187" s="2"/>
      <c r="F187" s="2"/>
      <c r="G187" s="2"/>
      <c r="H187" s="2"/>
      <c r="I187" s="2"/>
      <c r="J187" s="2"/>
    </row>
    <row r="188" customFormat="false" ht="15.75" hidden="false" customHeight="true" outlineLevel="0" collapsed="false">
      <c r="A188" s="2"/>
      <c r="B188" s="2"/>
      <c r="C188" s="2"/>
      <c r="D188" s="2"/>
      <c r="E188" s="2"/>
      <c r="F188" s="2"/>
      <c r="G188" s="2"/>
      <c r="H188" s="2"/>
      <c r="I188" s="2"/>
      <c r="J188" s="2"/>
    </row>
    <row r="189" customFormat="false" ht="15.75" hidden="false" customHeight="true" outlineLevel="0" collapsed="false">
      <c r="A189" s="2"/>
      <c r="B189" s="2"/>
      <c r="C189" s="2"/>
      <c r="D189" s="2"/>
      <c r="E189" s="2"/>
      <c r="F189" s="2"/>
      <c r="G189" s="2"/>
      <c r="H189" s="2"/>
      <c r="I189" s="2"/>
      <c r="J189" s="2"/>
    </row>
    <row r="190" customFormat="false" ht="15.75" hidden="false" customHeight="true" outlineLevel="0" collapsed="false">
      <c r="A190" s="2"/>
      <c r="B190" s="2"/>
      <c r="C190" s="2"/>
      <c r="D190" s="2"/>
      <c r="E190" s="2"/>
      <c r="F190" s="2"/>
      <c r="G190" s="2"/>
      <c r="H190" s="2"/>
      <c r="I190" s="2"/>
      <c r="J190" s="2"/>
    </row>
    <row r="191" customFormat="false" ht="15.75" hidden="false" customHeight="true" outlineLevel="0" collapsed="false">
      <c r="A191" s="2"/>
      <c r="B191" s="2"/>
      <c r="C191" s="2"/>
      <c r="D191" s="2"/>
      <c r="E191" s="2"/>
      <c r="F191" s="2"/>
      <c r="G191" s="2"/>
      <c r="H191" s="2"/>
      <c r="I191" s="2"/>
      <c r="J191" s="2"/>
    </row>
    <row r="192" customFormat="false" ht="15.75" hidden="false" customHeight="true" outlineLevel="0" collapsed="false">
      <c r="A192" s="2"/>
      <c r="B192" s="2"/>
      <c r="C192" s="2"/>
      <c r="D192" s="2"/>
      <c r="E192" s="2"/>
      <c r="F192" s="2"/>
      <c r="G192" s="2"/>
      <c r="H192" s="2"/>
      <c r="I192" s="2"/>
      <c r="J192" s="2"/>
    </row>
    <row r="193" customFormat="false" ht="15.75" hidden="false" customHeight="true" outlineLevel="0" collapsed="false">
      <c r="A193" s="2"/>
      <c r="B193" s="2"/>
      <c r="C193" s="2"/>
      <c r="D193" s="2"/>
      <c r="E193" s="2"/>
      <c r="F193" s="2"/>
      <c r="G193" s="2"/>
      <c r="H193" s="2"/>
      <c r="I193" s="2"/>
      <c r="J193" s="2"/>
    </row>
    <row r="194" customFormat="false" ht="15.75" hidden="false" customHeight="true" outlineLevel="0" collapsed="false">
      <c r="A194" s="2"/>
      <c r="B194" s="2"/>
      <c r="C194" s="2"/>
      <c r="D194" s="2"/>
      <c r="E194" s="2"/>
      <c r="F194" s="2"/>
      <c r="G194" s="2"/>
      <c r="H194" s="2"/>
      <c r="I194" s="2"/>
      <c r="J194" s="2"/>
    </row>
    <row r="195" customFormat="false" ht="15.75" hidden="false" customHeight="true" outlineLevel="0" collapsed="false">
      <c r="A195" s="2"/>
      <c r="B195" s="2"/>
      <c r="C195" s="2"/>
      <c r="D195" s="2"/>
      <c r="E195" s="2"/>
      <c r="F195" s="2"/>
      <c r="G195" s="2"/>
      <c r="H195" s="2"/>
      <c r="I195" s="2"/>
      <c r="J195" s="2"/>
    </row>
    <row r="196" customFormat="false" ht="15.75" hidden="false" customHeight="true" outlineLevel="0" collapsed="false">
      <c r="A196" s="2"/>
      <c r="B196" s="2"/>
      <c r="C196" s="2"/>
      <c r="D196" s="2"/>
      <c r="E196" s="2"/>
      <c r="F196" s="2"/>
      <c r="G196" s="2"/>
      <c r="H196" s="2"/>
      <c r="I196" s="2"/>
      <c r="J196" s="2"/>
    </row>
    <row r="197" customFormat="false" ht="15.75" hidden="false" customHeight="true" outlineLevel="0" collapsed="false">
      <c r="A197" s="2"/>
      <c r="B197" s="2"/>
      <c r="C197" s="2"/>
      <c r="D197" s="2"/>
      <c r="E197" s="2"/>
      <c r="F197" s="2"/>
      <c r="G197" s="2"/>
      <c r="H197" s="2"/>
      <c r="I197" s="2"/>
      <c r="J197" s="2"/>
    </row>
    <row r="198" customFormat="false" ht="15.75" hidden="false" customHeight="true" outlineLevel="0" collapsed="false">
      <c r="A198" s="2"/>
      <c r="B198" s="2"/>
      <c r="C198" s="2"/>
      <c r="D198" s="2"/>
      <c r="E198" s="2"/>
      <c r="F198" s="2"/>
      <c r="G198" s="2"/>
      <c r="H198" s="2"/>
      <c r="I198" s="2"/>
      <c r="J198" s="2"/>
    </row>
    <row r="199" customFormat="false" ht="15.75" hidden="false" customHeight="true" outlineLevel="0" collapsed="false">
      <c r="A199" s="2"/>
      <c r="B199" s="2"/>
      <c r="C199" s="2"/>
      <c r="D199" s="2"/>
      <c r="E199" s="2"/>
      <c r="F199" s="2"/>
      <c r="G199" s="2"/>
      <c r="H199" s="2"/>
      <c r="I199" s="2"/>
      <c r="J199" s="2"/>
    </row>
    <row r="200" customFormat="false" ht="15.75" hidden="false" customHeight="true" outlineLevel="0" collapsed="false">
      <c r="A200" s="2"/>
      <c r="B200" s="2"/>
      <c r="C200" s="2"/>
      <c r="D200" s="2"/>
      <c r="E200" s="2"/>
      <c r="F200" s="2"/>
      <c r="G200" s="2"/>
      <c r="H200" s="2"/>
      <c r="I200" s="2"/>
      <c r="J200" s="2"/>
    </row>
    <row r="201" customFormat="false" ht="15.75" hidden="false" customHeight="true" outlineLevel="0" collapsed="false">
      <c r="A201" s="2"/>
      <c r="B201" s="2"/>
      <c r="C201" s="2"/>
      <c r="D201" s="2"/>
      <c r="E201" s="2"/>
      <c r="F201" s="2"/>
      <c r="G201" s="2"/>
      <c r="H201" s="2"/>
      <c r="I201" s="2"/>
      <c r="J201" s="2"/>
    </row>
    <row r="202" customFormat="false" ht="15.75" hidden="false" customHeight="true" outlineLevel="0" collapsed="false">
      <c r="A202" s="2"/>
      <c r="B202" s="2"/>
      <c r="C202" s="2"/>
      <c r="D202" s="2"/>
      <c r="E202" s="2"/>
      <c r="F202" s="2"/>
      <c r="G202" s="2"/>
      <c r="H202" s="2"/>
      <c r="I202" s="2"/>
      <c r="J202" s="2"/>
    </row>
    <row r="203" customFormat="false" ht="15.75" hidden="false" customHeight="true" outlineLevel="0" collapsed="false">
      <c r="A203" s="2"/>
      <c r="B203" s="2"/>
      <c r="C203" s="2"/>
      <c r="D203" s="2"/>
      <c r="E203" s="2"/>
      <c r="F203" s="2"/>
      <c r="G203" s="2"/>
      <c r="H203" s="2"/>
      <c r="I203" s="2"/>
      <c r="J203" s="2"/>
    </row>
    <row r="204" customFormat="false" ht="15.75" hidden="false" customHeight="true" outlineLevel="0" collapsed="false">
      <c r="A204" s="2"/>
      <c r="B204" s="2"/>
      <c r="C204" s="2"/>
      <c r="D204" s="2"/>
      <c r="E204" s="2"/>
      <c r="F204" s="2"/>
      <c r="G204" s="2"/>
      <c r="H204" s="2"/>
      <c r="I204" s="2"/>
      <c r="J204" s="2"/>
    </row>
    <row r="205" customFormat="false" ht="15.75" hidden="false" customHeight="true" outlineLevel="0" collapsed="false">
      <c r="A205" s="2"/>
      <c r="B205" s="2"/>
      <c r="C205" s="2"/>
      <c r="D205" s="2"/>
      <c r="E205" s="2"/>
      <c r="F205" s="2"/>
      <c r="G205" s="2"/>
      <c r="H205" s="2"/>
      <c r="I205" s="2"/>
      <c r="J205" s="2"/>
    </row>
    <row r="206" customFormat="false" ht="15.75" hidden="false" customHeight="true" outlineLevel="0" collapsed="false">
      <c r="A206" s="2"/>
      <c r="B206" s="2"/>
      <c r="C206" s="2"/>
      <c r="D206" s="2"/>
      <c r="E206" s="2"/>
      <c r="F206" s="2"/>
      <c r="G206" s="2"/>
      <c r="H206" s="2"/>
      <c r="I206" s="2"/>
      <c r="J206" s="2"/>
    </row>
    <row r="207" customFormat="false" ht="15.75" hidden="false" customHeight="true" outlineLevel="0" collapsed="false">
      <c r="A207" s="2"/>
      <c r="B207" s="2"/>
      <c r="C207" s="2"/>
      <c r="D207" s="2"/>
      <c r="E207" s="2"/>
      <c r="F207" s="2"/>
      <c r="G207" s="2"/>
      <c r="H207" s="2"/>
      <c r="I207" s="2"/>
      <c r="J207" s="2"/>
    </row>
    <row r="208" customFormat="false" ht="15.75" hidden="false" customHeight="true" outlineLevel="0" collapsed="false">
      <c r="A208" s="2"/>
      <c r="B208" s="2"/>
      <c r="C208" s="2"/>
      <c r="D208" s="2"/>
      <c r="E208" s="2"/>
      <c r="F208" s="2"/>
      <c r="G208" s="2"/>
      <c r="H208" s="2"/>
      <c r="I208" s="2"/>
      <c r="J208" s="2"/>
    </row>
    <row r="209" customFormat="false" ht="15.75" hidden="false" customHeight="true" outlineLevel="0" collapsed="false">
      <c r="A209" s="2"/>
      <c r="B209" s="2"/>
      <c r="C209" s="2"/>
      <c r="D209" s="2"/>
      <c r="E209" s="2"/>
      <c r="F209" s="2"/>
      <c r="G209" s="2"/>
      <c r="H209" s="2"/>
      <c r="I209" s="2"/>
      <c r="J209" s="2"/>
    </row>
    <row r="210" customFormat="false" ht="15.75" hidden="false" customHeight="true" outlineLevel="0" collapsed="false">
      <c r="A210" s="2"/>
      <c r="B210" s="2"/>
      <c r="C210" s="2"/>
      <c r="D210" s="2"/>
      <c r="E210" s="2"/>
      <c r="F210" s="2"/>
      <c r="G210" s="2"/>
      <c r="H210" s="2"/>
      <c r="I210" s="2"/>
      <c r="J210" s="2"/>
    </row>
    <row r="211" customFormat="false" ht="15.75" hidden="false" customHeight="true" outlineLevel="0" collapsed="false">
      <c r="A211" s="2"/>
      <c r="B211" s="2"/>
      <c r="C211" s="2"/>
      <c r="D211" s="2"/>
      <c r="E211" s="2"/>
      <c r="F211" s="2"/>
      <c r="G211" s="2"/>
      <c r="H211" s="2"/>
      <c r="I211" s="2"/>
      <c r="J211" s="2"/>
    </row>
    <row r="212" customFormat="false" ht="15.75" hidden="false" customHeight="true" outlineLevel="0" collapsed="false">
      <c r="A212" s="2"/>
      <c r="B212" s="2"/>
      <c r="C212" s="2"/>
      <c r="D212" s="2"/>
      <c r="E212" s="2"/>
      <c r="F212" s="2"/>
      <c r="G212" s="2"/>
      <c r="H212" s="2"/>
      <c r="I212" s="2"/>
      <c r="J212" s="2"/>
    </row>
    <row r="213" customFormat="false" ht="15.75" hidden="false" customHeight="true" outlineLevel="0" collapsed="false">
      <c r="A213" s="2"/>
      <c r="B213" s="2"/>
      <c r="C213" s="2"/>
      <c r="D213" s="2"/>
      <c r="E213" s="2"/>
      <c r="F213" s="2"/>
      <c r="G213" s="2"/>
      <c r="H213" s="2"/>
      <c r="I213" s="2"/>
      <c r="J213" s="2"/>
    </row>
    <row r="214" customFormat="false" ht="15.75" hidden="false" customHeight="true" outlineLevel="0" collapsed="false">
      <c r="A214" s="2"/>
      <c r="B214" s="2"/>
      <c r="C214" s="2"/>
      <c r="D214" s="2"/>
      <c r="E214" s="2"/>
      <c r="F214" s="2"/>
      <c r="G214" s="2"/>
      <c r="H214" s="2"/>
      <c r="I214" s="2"/>
      <c r="J214" s="2"/>
    </row>
    <row r="215" customFormat="false" ht="15.75" hidden="false" customHeight="true" outlineLevel="0" collapsed="false">
      <c r="A215" s="2"/>
      <c r="B215" s="2"/>
      <c r="C215" s="2"/>
      <c r="D215" s="2"/>
      <c r="E215" s="2"/>
      <c r="F215" s="2"/>
      <c r="G215" s="2"/>
      <c r="H215" s="2"/>
      <c r="I215" s="2"/>
      <c r="J215" s="2"/>
    </row>
    <row r="216" customFormat="false" ht="15.75" hidden="false" customHeight="true" outlineLevel="0" collapsed="false">
      <c r="A216" s="2"/>
      <c r="B216" s="2"/>
      <c r="C216" s="2"/>
      <c r="D216" s="2"/>
      <c r="E216" s="2"/>
      <c r="F216" s="2"/>
      <c r="G216" s="2"/>
      <c r="H216" s="2"/>
      <c r="I216" s="2"/>
      <c r="J216" s="2"/>
    </row>
    <row r="217" customFormat="false" ht="15.75" hidden="false" customHeight="true" outlineLevel="0" collapsed="false">
      <c r="A217" s="2"/>
      <c r="B217" s="2"/>
      <c r="C217" s="2"/>
      <c r="D217" s="2"/>
      <c r="E217" s="2"/>
      <c r="F217" s="2"/>
      <c r="G217" s="2"/>
      <c r="H217" s="2"/>
      <c r="I217" s="2"/>
      <c r="J217" s="2"/>
    </row>
    <row r="218" customFormat="false" ht="15.75" hidden="false" customHeight="true" outlineLevel="0" collapsed="false">
      <c r="A218" s="2"/>
      <c r="B218" s="2"/>
      <c r="C218" s="2"/>
      <c r="D218" s="2"/>
      <c r="E218" s="2"/>
      <c r="F218" s="2"/>
      <c r="G218" s="2"/>
      <c r="H218" s="2"/>
      <c r="I218" s="2"/>
      <c r="J218" s="2"/>
    </row>
    <row r="219" customFormat="false" ht="15.75" hidden="false" customHeight="true" outlineLevel="0" collapsed="false">
      <c r="A219" s="2"/>
      <c r="B219" s="2"/>
      <c r="C219" s="2"/>
      <c r="D219" s="2"/>
      <c r="E219" s="2"/>
      <c r="F219" s="2"/>
      <c r="G219" s="2"/>
      <c r="H219" s="2"/>
      <c r="I219" s="2"/>
      <c r="J219" s="2"/>
    </row>
    <row r="220" customFormat="false" ht="15.75" hidden="false" customHeight="true" outlineLevel="0" collapsed="false">
      <c r="A220" s="2"/>
      <c r="B220" s="2"/>
      <c r="C220" s="2"/>
      <c r="D220" s="2"/>
      <c r="E220" s="2"/>
      <c r="F220" s="2"/>
      <c r="G220" s="2"/>
      <c r="H220" s="2"/>
      <c r="I220" s="2"/>
      <c r="J220" s="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J7"/>
  <mergeCells count="2">
    <mergeCell ref="A1:J1"/>
    <mergeCell ref="A2:J2"/>
  </mergeCells>
  <conditionalFormatting sqref="A5:A1000">
    <cfRule type="cellIs" priority="2" operator="equal" aboveAverage="0" equalAverage="0" bottom="0" percent="0" rank="0" text="" dxfId="21">
      <formula>"P0"</formula>
    </cfRule>
    <cfRule type="cellIs" priority="3" operator="equal" aboveAverage="0" equalAverage="0" bottom="0" percent="0" rank="0" text="" dxfId="20">
      <formula>"P1"</formula>
    </cfRule>
    <cfRule type="cellIs" priority="4" operator="equal" aboveAverage="0" equalAverage="0" bottom="0" percent="0" rank="0" text="" dxfId="24">
      <formula>"P2"</formula>
    </cfRule>
  </conditionalFormatting>
  <conditionalFormatting sqref="C5:C1000">
    <cfRule type="cellIs" priority="5" operator="equal" aboveAverage="0" equalAverage="0" bottom="0" percent="0" rank="0" text="" dxfId="13">
      <formula>"SMS"</formula>
    </cfRule>
    <cfRule type="cellIs" priority="6" operator="equal" aboveAverage="0" equalAverage="0" bottom="0" percent="0" rank="0" text="" dxfId="14">
      <formula>"Email"</formula>
    </cfRule>
  </conditionalFormatting>
  <conditionalFormatting sqref="D5:D1000">
    <cfRule type="cellIs" priority="7" operator="equal" aboveAverage="0" equalAverage="0" bottom="0" percent="0" rank="0" text="" dxfId="16">
      <formula>"Lender"</formula>
    </cfRule>
    <cfRule type="cellIs" priority="8" operator="equal" aboveAverage="0" equalAverage="0" bottom="0" percent="0" rank="0" text="" dxfId="17">
      <formula>"Borrower"</formula>
    </cfRule>
  </conditionalFormatting>
  <conditionalFormatting sqref="I5:I1000">
    <cfRule type="cellIs" priority="9" operator="equal" aboveAverage="0" equalAverage="0" bottom="0" percent="0" rank="0" text="" dxfId="20">
      <formula>"Proposed"</formula>
    </cfRule>
    <cfRule type="cellIs" priority="10" operator="equal" aboveAverage="0" equalAverage="0" bottom="0" percent="0" rank="0" text="" dxfId="13">
      <formula>"In progress"</formula>
    </cfRule>
    <cfRule type="cellIs" priority="11" operator="equal" aboveAverage="0" equalAverage="0" bottom="0" percent="0" rank="0" text="" dxfId="21">
      <formula>"Blocked"</formula>
    </cfRule>
    <cfRule type="cellIs" priority="12" operator="equal" aboveAverage="0" equalAverage="0" bottom="0" percent="0" rank="0" text="" dxfId="19">
      <formula>"Ready to promote"</formula>
    </cfRule>
  </conditionalFormatting>
  <dataValidations count="4">
    <dataValidation allowBlank="true" errorStyle="stop" operator="between" showDropDown="false" showErrorMessage="false" showInputMessage="false" sqref="C5:C37" type="list">
      <formula1>"SMS,Email,SMS+Email,Push,In-app"</formula1>
      <formula2>0</formula2>
    </dataValidation>
    <dataValidation allowBlank="true" errorStyle="stop" operator="between" showDropDown="false" showErrorMessage="false" showInputMessage="false" sqref="D5:D37" type="list">
      <formula1>"Lender,Borrower,Both,Operator"</formula1>
      <formula2>0</formula2>
    </dataValidation>
    <dataValidation allowBlank="true" errorStyle="stop" operator="between" showDropDown="false" showErrorMessage="false" showInputMessage="false" sqref="A5:A37" type="list">
      <formula1>"P0,P1,P2"</formula1>
      <formula2>0</formula2>
    </dataValidation>
    <dataValidation allowBlank="true" errorStyle="stop" operator="between" showDropDown="false" showErrorMessage="false" showInputMessage="false" sqref="I5:I37" type="list">
      <formula1>"Proposed,Not started,In progress,Blocked,Ready to promote,Shipped"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8"/>
    <col collapsed="false" customWidth="true" hidden="false" outlineLevel="0" max="2" min="2" style="0" width="35"/>
    <col collapsed="false" customWidth="true" hidden="false" outlineLevel="0" max="3" min="3" style="0" width="55"/>
    <col collapsed="false" customWidth="true" hidden="false" outlineLevel="0" max="4" min="4" style="0" width="40"/>
    <col collapsed="false" customWidth="true" hidden="false" outlineLevel="0" max="6" min="5" style="0" width="8.71"/>
  </cols>
  <sheetData>
    <row r="1" customFormat="false" ht="17.25" hidden="false" customHeight="true" outlineLevel="0" collapsed="false">
      <c r="A1" s="31" t="s">
        <v>598</v>
      </c>
      <c r="B1" s="31"/>
      <c r="C1" s="31"/>
      <c r="D1" s="31"/>
      <c r="E1" s="2"/>
      <c r="F1" s="2"/>
      <c r="G1" s="2"/>
      <c r="H1" s="2"/>
      <c r="I1" s="2"/>
      <c r="J1" s="2"/>
      <c r="K1" s="2"/>
      <c r="L1" s="2"/>
      <c r="M1" s="2"/>
      <c r="N1" s="2"/>
      <c r="O1" s="2"/>
      <c r="P1" s="2"/>
      <c r="Q1" s="2"/>
      <c r="R1" s="2"/>
      <c r="S1" s="2"/>
      <c r="T1" s="2"/>
      <c r="U1" s="2"/>
      <c r="V1" s="2"/>
      <c r="W1" s="2"/>
      <c r="X1" s="2"/>
      <c r="Y1" s="2"/>
      <c r="Z1" s="2"/>
    </row>
    <row r="2" customFormat="false" ht="15" hidden="false" customHeight="true" outlineLevel="0" collapsed="false">
      <c r="A2" s="32" t="s">
        <v>599</v>
      </c>
      <c r="B2" s="32"/>
      <c r="C2" s="32"/>
      <c r="D2" s="32"/>
      <c r="E2" s="2"/>
      <c r="F2" s="2"/>
      <c r="G2" s="2"/>
      <c r="H2" s="2"/>
      <c r="I2" s="2"/>
      <c r="J2" s="2"/>
      <c r="K2" s="2"/>
      <c r="L2" s="2"/>
      <c r="M2" s="2"/>
      <c r="N2" s="2"/>
      <c r="O2" s="2"/>
      <c r="P2" s="2"/>
      <c r="Q2" s="2"/>
      <c r="R2" s="2"/>
      <c r="S2" s="2"/>
      <c r="T2" s="2"/>
      <c r="U2" s="2"/>
      <c r="V2" s="2"/>
      <c r="W2" s="2"/>
      <c r="X2" s="2"/>
      <c r="Y2" s="2"/>
      <c r="Z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5" hidden="false" customHeight="true" outlineLevel="0" collapsed="false">
      <c r="A4" s="33" t="s">
        <v>600</v>
      </c>
      <c r="B4" s="33"/>
      <c r="C4" s="33"/>
      <c r="D4" s="33"/>
      <c r="E4" s="2"/>
      <c r="F4" s="2"/>
      <c r="G4" s="2"/>
      <c r="H4" s="2"/>
      <c r="I4" s="2"/>
      <c r="J4" s="2"/>
      <c r="K4" s="2"/>
      <c r="L4" s="2"/>
      <c r="M4" s="2"/>
      <c r="N4" s="2"/>
      <c r="O4" s="2"/>
      <c r="P4" s="2"/>
      <c r="Q4" s="2"/>
      <c r="R4" s="2"/>
      <c r="S4" s="2"/>
      <c r="T4" s="2"/>
      <c r="U4" s="2"/>
      <c r="V4" s="2"/>
      <c r="W4" s="2"/>
      <c r="X4" s="2"/>
      <c r="Y4" s="2"/>
      <c r="Z4" s="2"/>
    </row>
    <row r="5" customFormat="false" ht="15" hidden="false" customHeight="true" outlineLevel="0" collapsed="false">
      <c r="A5" s="34" t="s">
        <v>34</v>
      </c>
      <c r="B5" s="34" t="s">
        <v>601</v>
      </c>
      <c r="C5" s="34" t="s">
        <v>602</v>
      </c>
      <c r="D5" s="34" t="s">
        <v>603</v>
      </c>
      <c r="E5" s="2"/>
      <c r="F5" s="2"/>
      <c r="G5" s="2"/>
      <c r="H5" s="2"/>
      <c r="I5" s="2"/>
      <c r="J5" s="2"/>
      <c r="K5" s="2"/>
      <c r="L5" s="2"/>
      <c r="M5" s="2"/>
      <c r="N5" s="2"/>
      <c r="O5" s="2"/>
      <c r="P5" s="2"/>
      <c r="Q5" s="2"/>
      <c r="R5" s="2"/>
      <c r="S5" s="2"/>
      <c r="T5" s="2"/>
      <c r="U5" s="2"/>
      <c r="V5" s="2"/>
      <c r="W5" s="2"/>
      <c r="X5" s="2"/>
      <c r="Y5" s="2"/>
      <c r="Z5" s="2"/>
    </row>
    <row r="6" customFormat="false" ht="23.25" hidden="false" customHeight="true" outlineLevel="0" collapsed="false">
      <c r="A6" s="35" t="s">
        <v>43</v>
      </c>
      <c r="B6" s="36" t="s">
        <v>604</v>
      </c>
      <c r="C6" s="36" t="s">
        <v>605</v>
      </c>
      <c r="D6" s="30" t="s">
        <v>606</v>
      </c>
      <c r="E6" s="2"/>
      <c r="F6" s="2"/>
      <c r="G6" s="2"/>
      <c r="H6" s="2"/>
      <c r="I6" s="2"/>
      <c r="J6" s="2"/>
      <c r="K6" s="2"/>
      <c r="L6" s="2"/>
      <c r="M6" s="2"/>
      <c r="N6" s="2"/>
      <c r="O6" s="2"/>
      <c r="P6" s="2"/>
      <c r="Q6" s="2"/>
      <c r="R6" s="2"/>
      <c r="S6" s="2"/>
      <c r="T6" s="2"/>
      <c r="U6" s="2"/>
      <c r="V6" s="2"/>
      <c r="W6" s="2"/>
      <c r="X6" s="2"/>
      <c r="Y6" s="2"/>
      <c r="Z6" s="2"/>
    </row>
    <row r="7" customFormat="false" ht="23.25" hidden="false" customHeight="true" outlineLevel="0" collapsed="false">
      <c r="A7" s="35" t="s">
        <v>52</v>
      </c>
      <c r="B7" s="36" t="s">
        <v>607</v>
      </c>
      <c r="C7" s="36" t="s">
        <v>608</v>
      </c>
      <c r="D7" s="30" t="s">
        <v>609</v>
      </c>
      <c r="E7" s="2"/>
      <c r="F7" s="2"/>
      <c r="G7" s="2"/>
      <c r="H7" s="2"/>
      <c r="I7" s="2"/>
      <c r="J7" s="2"/>
      <c r="K7" s="2"/>
      <c r="L7" s="2"/>
      <c r="M7" s="2"/>
      <c r="N7" s="2"/>
      <c r="O7" s="2"/>
      <c r="P7" s="2"/>
      <c r="Q7" s="2"/>
      <c r="R7" s="2"/>
      <c r="S7" s="2"/>
      <c r="T7" s="2"/>
      <c r="U7" s="2"/>
      <c r="V7" s="2"/>
      <c r="W7" s="2"/>
      <c r="X7" s="2"/>
      <c r="Y7" s="2"/>
      <c r="Z7" s="2"/>
    </row>
    <row r="8" customFormat="false" ht="23.25" hidden="false" customHeight="true" outlineLevel="0" collapsed="false">
      <c r="A8" s="35" t="s">
        <v>59</v>
      </c>
      <c r="B8" s="36" t="s">
        <v>610</v>
      </c>
      <c r="C8" s="36" t="s">
        <v>611</v>
      </c>
      <c r="D8" s="30" t="s">
        <v>612</v>
      </c>
      <c r="E8" s="2"/>
      <c r="F8" s="2"/>
      <c r="G8" s="2"/>
      <c r="H8" s="2"/>
      <c r="I8" s="2"/>
      <c r="J8" s="2"/>
      <c r="K8" s="2"/>
      <c r="L8" s="2"/>
      <c r="M8" s="2"/>
      <c r="N8" s="2"/>
      <c r="O8" s="2"/>
      <c r="P8" s="2"/>
      <c r="Q8" s="2"/>
      <c r="R8" s="2"/>
      <c r="S8" s="2"/>
      <c r="T8" s="2"/>
      <c r="U8" s="2"/>
      <c r="V8" s="2"/>
      <c r="W8" s="2"/>
      <c r="X8" s="2"/>
      <c r="Y8" s="2"/>
      <c r="Z8" s="2"/>
    </row>
    <row r="9" customFormat="false" ht="15" hidden="false" customHeight="false" outlineLevel="0" collapsed="false">
      <c r="A9" s="2"/>
      <c r="B9" s="2"/>
      <c r="C9" s="2"/>
      <c r="D9" s="2"/>
      <c r="E9" s="2"/>
      <c r="F9" s="2"/>
      <c r="G9" s="2"/>
      <c r="H9" s="2"/>
      <c r="I9" s="2"/>
      <c r="J9" s="2"/>
      <c r="K9" s="2"/>
      <c r="L9" s="2"/>
      <c r="M9" s="2"/>
      <c r="N9" s="2"/>
      <c r="O9" s="2"/>
      <c r="P9" s="2"/>
      <c r="Q9" s="2"/>
      <c r="R9" s="2"/>
      <c r="S9" s="2"/>
      <c r="T9" s="2"/>
      <c r="U9" s="2"/>
      <c r="V9" s="2"/>
      <c r="W9" s="2"/>
      <c r="X9" s="2"/>
      <c r="Y9" s="2"/>
      <c r="Z9" s="2"/>
    </row>
    <row r="10" customFormat="false" ht="15" hidden="false" customHeight="true" outlineLevel="0" collapsed="false">
      <c r="A10" s="33" t="s">
        <v>613</v>
      </c>
      <c r="B10" s="33"/>
      <c r="C10" s="33"/>
      <c r="D10" s="33"/>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true" outlineLevel="0" collapsed="false">
      <c r="A11" s="34" t="s">
        <v>614</v>
      </c>
      <c r="B11" s="34" t="s">
        <v>615</v>
      </c>
      <c r="C11" s="34" t="s">
        <v>616</v>
      </c>
      <c r="D11" s="34" t="s">
        <v>42</v>
      </c>
      <c r="E11" s="2"/>
      <c r="F11" s="2"/>
      <c r="G11" s="2"/>
      <c r="H11" s="2"/>
      <c r="I11" s="2"/>
      <c r="J11" s="2"/>
      <c r="K11" s="2"/>
      <c r="L11" s="2"/>
      <c r="M11" s="2"/>
      <c r="N11" s="2"/>
      <c r="O11" s="2"/>
      <c r="P11" s="2"/>
      <c r="Q11" s="2"/>
      <c r="R11" s="2"/>
      <c r="S11" s="2"/>
      <c r="T11" s="2"/>
      <c r="U11" s="2"/>
      <c r="V11" s="2"/>
      <c r="W11" s="2"/>
      <c r="X11" s="2"/>
      <c r="Y11" s="2"/>
      <c r="Z11" s="2"/>
    </row>
    <row r="12" customFormat="false" ht="49.5" hidden="false" customHeight="true" outlineLevel="0" collapsed="false">
      <c r="A12" s="37" t="s">
        <v>43</v>
      </c>
      <c r="B12" s="38" t="s">
        <v>617</v>
      </c>
      <c r="C12" s="38" t="s">
        <v>618</v>
      </c>
      <c r="D12" s="38" t="s">
        <v>619</v>
      </c>
      <c r="E12" s="2"/>
      <c r="F12" s="2"/>
      <c r="G12" s="2"/>
      <c r="H12" s="2"/>
      <c r="I12" s="2"/>
      <c r="J12" s="2"/>
      <c r="K12" s="2"/>
      <c r="L12" s="2"/>
      <c r="M12" s="2"/>
      <c r="N12" s="2"/>
      <c r="O12" s="2"/>
      <c r="P12" s="2"/>
      <c r="Q12" s="2"/>
      <c r="R12" s="2"/>
      <c r="S12" s="2"/>
      <c r="T12" s="2"/>
      <c r="U12" s="2"/>
      <c r="V12" s="2"/>
      <c r="W12" s="2"/>
      <c r="X12" s="2"/>
      <c r="Y12" s="2"/>
      <c r="Z12" s="2"/>
    </row>
    <row r="13" customFormat="false" ht="49.5" hidden="false" customHeight="true" outlineLevel="0" collapsed="false">
      <c r="A13" s="39" t="s">
        <v>52</v>
      </c>
      <c r="B13" s="40" t="s">
        <v>620</v>
      </c>
      <c r="C13" s="40" t="s">
        <v>621</v>
      </c>
      <c r="D13" s="40" t="s">
        <v>622</v>
      </c>
      <c r="E13" s="2"/>
      <c r="F13" s="2"/>
      <c r="G13" s="2"/>
      <c r="H13" s="2"/>
      <c r="I13" s="2"/>
      <c r="J13" s="2"/>
      <c r="K13" s="2"/>
      <c r="L13" s="2"/>
      <c r="M13" s="2"/>
      <c r="N13" s="2"/>
      <c r="O13" s="2"/>
      <c r="P13" s="2"/>
      <c r="Q13" s="2"/>
      <c r="R13" s="2"/>
      <c r="S13" s="2"/>
      <c r="T13" s="2"/>
      <c r="U13" s="2"/>
      <c r="V13" s="2"/>
      <c r="W13" s="2"/>
      <c r="X13" s="2"/>
      <c r="Y13" s="2"/>
      <c r="Z13" s="2"/>
    </row>
    <row r="14" customFormat="false" ht="49.5" hidden="false" customHeight="true" outlineLevel="0" collapsed="false">
      <c r="A14" s="37" t="s">
        <v>59</v>
      </c>
      <c r="B14" s="38" t="s">
        <v>623</v>
      </c>
      <c r="C14" s="38" t="s">
        <v>624</v>
      </c>
      <c r="D14" s="38" t="s">
        <v>625</v>
      </c>
      <c r="E14" s="2"/>
      <c r="F14" s="2"/>
      <c r="G14" s="2"/>
      <c r="H14" s="2"/>
      <c r="I14" s="2"/>
      <c r="J14" s="2"/>
      <c r="K14" s="2"/>
      <c r="L14" s="2"/>
      <c r="M14" s="2"/>
      <c r="N14" s="2"/>
      <c r="O14" s="2"/>
      <c r="P14" s="2"/>
      <c r="Q14" s="2"/>
      <c r="R14" s="2"/>
      <c r="S14" s="2"/>
      <c r="T14" s="2"/>
      <c r="U14" s="2"/>
      <c r="V14" s="2"/>
      <c r="W14" s="2"/>
      <c r="X14" s="2"/>
      <c r="Y14" s="2"/>
      <c r="Z14" s="2"/>
    </row>
    <row r="15" customFormat="false" ht="49.5" hidden="false" customHeight="true" outlineLevel="0" collapsed="false">
      <c r="A15" s="39" t="s">
        <v>66</v>
      </c>
      <c r="B15" s="40" t="s">
        <v>626</v>
      </c>
      <c r="C15" s="40" t="s">
        <v>627</v>
      </c>
      <c r="D15" s="40" t="s">
        <v>628</v>
      </c>
      <c r="E15" s="2"/>
      <c r="F15" s="2"/>
      <c r="G15" s="2"/>
      <c r="H15" s="2"/>
      <c r="I15" s="2"/>
      <c r="J15" s="2"/>
      <c r="K15" s="2"/>
      <c r="L15" s="2"/>
      <c r="M15" s="2"/>
      <c r="N15" s="2"/>
      <c r="O15" s="2"/>
      <c r="P15" s="2"/>
      <c r="Q15" s="2"/>
      <c r="R15" s="2"/>
      <c r="S15" s="2"/>
      <c r="T15" s="2"/>
      <c r="U15" s="2"/>
      <c r="V15" s="2"/>
      <c r="W15" s="2"/>
      <c r="X15" s="2"/>
      <c r="Y15" s="2"/>
      <c r="Z15" s="2"/>
    </row>
    <row r="16" customFormat="false" ht="49.5" hidden="false" customHeight="true" outlineLevel="0" collapsed="false">
      <c r="A16" s="37" t="s">
        <v>73</v>
      </c>
      <c r="B16" s="38" t="s">
        <v>629</v>
      </c>
      <c r="C16" s="38" t="s">
        <v>630</v>
      </c>
      <c r="D16" s="38" t="s">
        <v>631</v>
      </c>
      <c r="E16" s="2"/>
      <c r="F16" s="2"/>
      <c r="G16" s="2"/>
      <c r="H16" s="2"/>
      <c r="I16" s="2"/>
      <c r="J16" s="2"/>
      <c r="K16" s="2"/>
      <c r="L16" s="2"/>
      <c r="M16" s="2"/>
      <c r="N16" s="2"/>
      <c r="O16" s="2"/>
      <c r="P16" s="2"/>
      <c r="Q16" s="2"/>
      <c r="R16" s="2"/>
      <c r="S16" s="2"/>
      <c r="T16" s="2"/>
      <c r="U16" s="2"/>
      <c r="V16" s="2"/>
      <c r="W16" s="2"/>
      <c r="X16" s="2"/>
      <c r="Y16" s="2"/>
      <c r="Z16" s="2"/>
    </row>
    <row r="17" customFormat="false" ht="49.5" hidden="false" customHeight="true" outlineLevel="0" collapsed="false">
      <c r="A17" s="39" t="s">
        <v>81</v>
      </c>
      <c r="B17" s="40" t="s">
        <v>632</v>
      </c>
      <c r="C17" s="40" t="s">
        <v>633</v>
      </c>
      <c r="D17" s="40" t="s">
        <v>634</v>
      </c>
      <c r="E17" s="2"/>
      <c r="F17" s="2"/>
      <c r="G17" s="2"/>
      <c r="H17" s="2"/>
      <c r="I17" s="2"/>
      <c r="J17" s="2"/>
      <c r="K17" s="2"/>
      <c r="L17" s="2"/>
      <c r="M17" s="2"/>
      <c r="N17" s="2"/>
      <c r="O17" s="2"/>
      <c r="P17" s="2"/>
      <c r="Q17" s="2"/>
      <c r="R17" s="2"/>
      <c r="S17" s="2"/>
      <c r="T17" s="2"/>
      <c r="U17" s="2"/>
      <c r="V17" s="2"/>
      <c r="W17" s="2"/>
      <c r="X17" s="2"/>
      <c r="Y17" s="2"/>
      <c r="Z17" s="2"/>
    </row>
    <row r="18" customFormat="false" ht="49.5" hidden="false" customHeight="true" outlineLevel="0" collapsed="false">
      <c r="A18" s="37" t="s">
        <v>635</v>
      </c>
      <c r="B18" s="38" t="s">
        <v>636</v>
      </c>
      <c r="C18" s="38" t="s">
        <v>637</v>
      </c>
      <c r="D18" s="38" t="s">
        <v>638</v>
      </c>
      <c r="E18" s="2"/>
      <c r="F18" s="2"/>
      <c r="G18" s="2"/>
      <c r="H18" s="2"/>
      <c r="I18" s="2"/>
      <c r="J18" s="2"/>
      <c r="K18" s="2"/>
      <c r="L18" s="2"/>
      <c r="M18" s="2"/>
      <c r="N18" s="2"/>
      <c r="O18" s="2"/>
      <c r="P18" s="2"/>
      <c r="Q18" s="2"/>
      <c r="R18" s="2"/>
      <c r="S18" s="2"/>
      <c r="T18" s="2"/>
      <c r="U18" s="2"/>
      <c r="V18" s="2"/>
      <c r="W18" s="2"/>
      <c r="X18" s="2"/>
      <c r="Y18" s="2"/>
      <c r="Z18" s="2"/>
    </row>
    <row r="19" customFormat="false" ht="49.5" hidden="false" customHeight="true" outlineLevel="0" collapsed="false">
      <c r="A19" s="39" t="s">
        <v>639</v>
      </c>
      <c r="B19" s="40" t="s">
        <v>640</v>
      </c>
      <c r="C19" s="40" t="s">
        <v>641</v>
      </c>
      <c r="D19" s="40" t="s">
        <v>642</v>
      </c>
      <c r="E19" s="2"/>
      <c r="F19" s="2"/>
      <c r="G19" s="2"/>
      <c r="H19" s="2"/>
      <c r="I19" s="2"/>
      <c r="J19" s="2"/>
      <c r="K19" s="2"/>
      <c r="L19" s="2"/>
      <c r="M19" s="2"/>
      <c r="N19" s="2"/>
      <c r="O19" s="2"/>
      <c r="P19" s="2"/>
      <c r="Q19" s="2"/>
      <c r="R19" s="2"/>
      <c r="S19" s="2"/>
      <c r="T19" s="2"/>
      <c r="U19" s="2"/>
      <c r="V19" s="2"/>
      <c r="W19" s="2"/>
      <c r="X19" s="2"/>
      <c r="Y19" s="2"/>
      <c r="Z19" s="2"/>
    </row>
    <row r="20" customFormat="false" ht="49.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49.5" hidden="false" customHeight="true" outlineLevel="0" collapsed="false">
      <c r="A21" s="41" t="s">
        <v>643</v>
      </c>
      <c r="B21" s="41" t="s">
        <v>644</v>
      </c>
      <c r="C21" s="41" t="s">
        <v>645</v>
      </c>
      <c r="D21" s="41" t="s">
        <v>646</v>
      </c>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A1:D1"/>
    <mergeCell ref="A2:D2"/>
    <mergeCell ref="A4:D4"/>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14.43359375" defaultRowHeight="15" customHeight="true"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38"/>
    <col collapsed="false" customWidth="true" hidden="false" outlineLevel="0" max="4" min="4" style="0" width="50"/>
    <col collapsed="false" customWidth="true" hidden="false" outlineLevel="0" max="5" min="5" style="0" width="56"/>
    <col collapsed="false" customWidth="true" hidden="false" outlineLevel="0" max="6" min="6" style="0" width="30"/>
    <col collapsed="false" customWidth="true" hidden="false" outlineLevel="0" max="7" min="7" style="0" width="60"/>
    <col collapsed="false" customWidth="true" hidden="false" outlineLevel="0" max="26" min="8" style="0" width="8.71"/>
  </cols>
  <sheetData>
    <row r="1" customFormat="false" ht="17.35" hidden="false" customHeight="false" outlineLevel="0" collapsed="false">
      <c r="A1" s="42" t="s">
        <v>647</v>
      </c>
    </row>
    <row r="2" customFormat="false" ht="292.5" hidden="false" customHeight="false" outlineLevel="0" collapsed="false">
      <c r="A2" s="43" t="s">
        <v>648</v>
      </c>
    </row>
    <row r="4" customFormat="false" ht="26.85" hidden="false" customHeight="false" outlineLevel="0" collapsed="false">
      <c r="A4" s="44" t="s">
        <v>102</v>
      </c>
      <c r="B4" s="44" t="s">
        <v>649</v>
      </c>
      <c r="C4" s="44" t="s">
        <v>650</v>
      </c>
      <c r="D4" s="44" t="s">
        <v>651</v>
      </c>
      <c r="E4" s="44" t="s">
        <v>652</v>
      </c>
      <c r="F4" s="44" t="s">
        <v>653</v>
      </c>
      <c r="G4" s="44" t="s">
        <v>42</v>
      </c>
    </row>
    <row r="5" customFormat="false" ht="15" hidden="false" customHeight="false" outlineLevel="0" collapsed="false">
      <c r="A5" s="30" t="s">
        <v>20</v>
      </c>
      <c r="B5" s="30" t="s">
        <v>654</v>
      </c>
      <c r="C5" s="30" t="s">
        <v>655</v>
      </c>
      <c r="D5" s="30" t="s">
        <v>656</v>
      </c>
      <c r="E5" s="30" t="s">
        <v>657</v>
      </c>
      <c r="F5" s="30" t="s">
        <v>658</v>
      </c>
      <c r="G5" s="30" t="s">
        <v>659</v>
      </c>
    </row>
    <row r="6" customFormat="false" ht="15" hidden="false" customHeight="false" outlineLevel="0" collapsed="false">
      <c r="A6" s="30" t="s">
        <v>20</v>
      </c>
      <c r="B6" s="30" t="s">
        <v>660</v>
      </c>
      <c r="C6" s="30" t="s">
        <v>661</v>
      </c>
      <c r="D6" s="30" t="s">
        <v>662</v>
      </c>
      <c r="E6" s="30" t="s">
        <v>663</v>
      </c>
      <c r="F6" s="30" t="s">
        <v>664</v>
      </c>
      <c r="G6" s="30" t="s">
        <v>665</v>
      </c>
    </row>
    <row r="7" customFormat="false" ht="35.05" hidden="false" customHeight="false" outlineLevel="0" collapsed="false">
      <c r="A7" s="30" t="s">
        <v>20</v>
      </c>
      <c r="B7" s="30" t="s">
        <v>666</v>
      </c>
      <c r="C7" s="30" t="s">
        <v>667</v>
      </c>
      <c r="D7" s="30" t="s">
        <v>668</v>
      </c>
      <c r="E7" s="30" t="s">
        <v>669</v>
      </c>
      <c r="F7" s="30" t="s">
        <v>670</v>
      </c>
      <c r="G7" s="30" t="s">
        <v>671</v>
      </c>
    </row>
    <row r="8" customFormat="false" ht="15" hidden="false" customHeight="false" outlineLevel="0" collapsed="false">
      <c r="A8" s="30" t="s">
        <v>20</v>
      </c>
      <c r="B8" s="30" t="s">
        <v>672</v>
      </c>
      <c r="C8" s="30" t="s">
        <v>673</v>
      </c>
      <c r="D8" s="30" t="s">
        <v>674</v>
      </c>
      <c r="E8" s="30" t="s">
        <v>675</v>
      </c>
      <c r="F8" s="30" t="s">
        <v>676</v>
      </c>
      <c r="G8" s="30" t="s">
        <v>677</v>
      </c>
    </row>
    <row r="9" customFormat="false" ht="15" hidden="false" customHeight="false" outlineLevel="0" collapsed="false">
      <c r="A9" s="30" t="s">
        <v>20</v>
      </c>
      <c r="B9" s="30" t="s">
        <v>678</v>
      </c>
      <c r="C9" s="30" t="s">
        <v>673</v>
      </c>
      <c r="D9" s="30" t="s">
        <v>679</v>
      </c>
      <c r="E9" s="30" t="s">
        <v>680</v>
      </c>
      <c r="F9" s="30" t="s">
        <v>681</v>
      </c>
      <c r="G9" s="30" t="s">
        <v>682</v>
      </c>
    </row>
    <row r="10" customFormat="false" ht="15" hidden="false" customHeight="false" outlineLevel="0" collapsed="false">
      <c r="A10" s="30" t="s">
        <v>20</v>
      </c>
      <c r="B10" s="30" t="s">
        <v>683</v>
      </c>
      <c r="C10" s="30" t="s">
        <v>684</v>
      </c>
      <c r="D10" s="30" t="s">
        <v>685</v>
      </c>
      <c r="E10" s="30" t="s">
        <v>686</v>
      </c>
      <c r="F10" s="30" t="s">
        <v>687</v>
      </c>
      <c r="G10" s="30" t="s">
        <v>688</v>
      </c>
    </row>
    <row r="11" customFormat="false" ht="15" hidden="false" customHeight="false" outlineLevel="0" collapsed="false">
      <c r="A11" s="30" t="s">
        <v>20</v>
      </c>
      <c r="B11" s="30" t="s">
        <v>689</v>
      </c>
      <c r="C11" s="30" t="s">
        <v>690</v>
      </c>
      <c r="D11" s="30" t="s">
        <v>691</v>
      </c>
      <c r="E11" s="30" t="s">
        <v>692</v>
      </c>
      <c r="F11" s="30" t="s">
        <v>693</v>
      </c>
      <c r="G11" s="30" t="s">
        <v>694</v>
      </c>
    </row>
    <row r="12" customFormat="false" ht="15" hidden="false" customHeight="false" outlineLevel="0" collapsed="false">
      <c r="A12" s="30" t="s">
        <v>20</v>
      </c>
      <c r="B12" s="30" t="s">
        <v>695</v>
      </c>
      <c r="C12" s="30" t="s">
        <v>696</v>
      </c>
      <c r="D12" s="30" t="s">
        <v>697</v>
      </c>
      <c r="E12" s="30" t="s">
        <v>698</v>
      </c>
      <c r="F12" s="30" t="s">
        <v>699</v>
      </c>
      <c r="G12" s="30" t="s">
        <v>700</v>
      </c>
    </row>
    <row r="13" customFormat="false" ht="15" hidden="false" customHeight="false" outlineLevel="0" collapsed="false">
      <c r="A13" s="30" t="s">
        <v>20</v>
      </c>
      <c r="B13" s="30" t="s">
        <v>701</v>
      </c>
      <c r="C13" s="30" t="s">
        <v>702</v>
      </c>
      <c r="D13" s="30" t="s">
        <v>703</v>
      </c>
      <c r="E13" s="30" t="s">
        <v>704</v>
      </c>
      <c r="F13" s="30" t="s">
        <v>705</v>
      </c>
      <c r="G13" s="30" t="s">
        <v>706</v>
      </c>
    </row>
    <row r="14" customFormat="false" ht="23.85" hidden="false" customHeight="false" outlineLevel="0" collapsed="false">
      <c r="A14" s="30" t="s">
        <v>20</v>
      </c>
      <c r="B14" s="30" t="s">
        <v>707</v>
      </c>
      <c r="C14" s="30" t="s">
        <v>708</v>
      </c>
      <c r="D14" s="30" t="s">
        <v>709</v>
      </c>
      <c r="E14" s="30" t="s">
        <v>710</v>
      </c>
      <c r="F14" s="30" t="s">
        <v>711</v>
      </c>
      <c r="G14" s="30" t="s">
        <v>712</v>
      </c>
    </row>
    <row r="15" customFormat="false" ht="23.85" hidden="false" customHeight="false" outlineLevel="0" collapsed="false">
      <c r="A15" s="30" t="s">
        <v>20</v>
      </c>
      <c r="B15" s="30" t="s">
        <v>713</v>
      </c>
      <c r="C15" s="30" t="s">
        <v>714</v>
      </c>
      <c r="D15" s="30" t="s">
        <v>709</v>
      </c>
      <c r="E15" s="30" t="s">
        <v>715</v>
      </c>
      <c r="F15" s="30" t="s">
        <v>716</v>
      </c>
      <c r="G15" s="30" t="s">
        <v>717</v>
      </c>
    </row>
    <row r="16" customFormat="false" ht="15" hidden="false" customHeight="false" outlineLevel="0" collapsed="false">
      <c r="A16" s="30" t="s">
        <v>20</v>
      </c>
      <c r="B16" s="30" t="s">
        <v>718</v>
      </c>
      <c r="C16" s="30" t="s">
        <v>719</v>
      </c>
      <c r="D16" s="30" t="s">
        <v>709</v>
      </c>
      <c r="E16" s="30" t="s">
        <v>720</v>
      </c>
      <c r="F16" s="30" t="s">
        <v>721</v>
      </c>
      <c r="G16" s="30" t="s">
        <v>722</v>
      </c>
    </row>
    <row r="17" customFormat="false" ht="15" hidden="false" customHeight="false" outlineLevel="0" collapsed="false">
      <c r="A17" s="30" t="s">
        <v>20</v>
      </c>
      <c r="B17" s="30" t="s">
        <v>723</v>
      </c>
      <c r="C17" s="30" t="s">
        <v>724</v>
      </c>
      <c r="D17" s="30" t="s">
        <v>709</v>
      </c>
      <c r="E17" s="30" t="s">
        <v>725</v>
      </c>
      <c r="F17" s="30" t="s">
        <v>726</v>
      </c>
      <c r="G17" s="30" t="s">
        <v>727</v>
      </c>
    </row>
    <row r="18" customFormat="false" ht="15" hidden="false" customHeight="false" outlineLevel="0" collapsed="false">
      <c r="A18" s="30" t="s">
        <v>20</v>
      </c>
      <c r="B18" s="30" t="s">
        <v>728</v>
      </c>
      <c r="C18" s="30" t="s">
        <v>681</v>
      </c>
      <c r="D18" s="30" t="s">
        <v>729</v>
      </c>
      <c r="E18" s="30" t="s">
        <v>730</v>
      </c>
      <c r="F18" s="30" t="s">
        <v>681</v>
      </c>
      <c r="G18" s="30" t="s">
        <v>731</v>
      </c>
    </row>
    <row r="19" customFormat="false" ht="15" hidden="false" customHeight="false" outlineLevel="0" collapsed="false">
      <c r="A19" s="30" t="s">
        <v>26</v>
      </c>
      <c r="B19" s="30" t="s">
        <v>654</v>
      </c>
      <c r="C19" s="30" t="s">
        <v>655</v>
      </c>
      <c r="D19" s="30" t="s">
        <v>732</v>
      </c>
      <c r="E19" s="30" t="s">
        <v>733</v>
      </c>
      <c r="F19" s="30" t="s">
        <v>734</v>
      </c>
      <c r="G19" s="30" t="s">
        <v>659</v>
      </c>
    </row>
    <row r="20" customFormat="false" ht="15" hidden="false" customHeight="false" outlineLevel="0" collapsed="false">
      <c r="A20" s="30" t="s">
        <v>26</v>
      </c>
      <c r="B20" s="30" t="s">
        <v>660</v>
      </c>
      <c r="C20" s="30" t="s">
        <v>661</v>
      </c>
      <c r="D20" s="30" t="s">
        <v>735</v>
      </c>
      <c r="E20" s="30" t="s">
        <v>736</v>
      </c>
      <c r="F20" s="30" t="s">
        <v>737</v>
      </c>
      <c r="G20" s="30" t="s">
        <v>738</v>
      </c>
    </row>
    <row r="21" customFormat="false" ht="15.75" hidden="false" customHeight="true" outlineLevel="0" collapsed="false">
      <c r="A21" s="30" t="s">
        <v>26</v>
      </c>
      <c r="B21" s="30" t="s">
        <v>666</v>
      </c>
      <c r="C21" s="30" t="s">
        <v>667</v>
      </c>
      <c r="D21" s="30" t="s">
        <v>739</v>
      </c>
      <c r="E21" s="30" t="s">
        <v>740</v>
      </c>
      <c r="F21" s="30" t="s">
        <v>670</v>
      </c>
      <c r="G21" s="30" t="s">
        <v>741</v>
      </c>
    </row>
    <row r="22" customFormat="false" ht="15.75" hidden="false" customHeight="true" outlineLevel="0" collapsed="false">
      <c r="A22" s="30" t="s">
        <v>26</v>
      </c>
      <c r="B22" s="30" t="s">
        <v>672</v>
      </c>
      <c r="C22" s="30" t="s">
        <v>673</v>
      </c>
      <c r="D22" s="30" t="s">
        <v>742</v>
      </c>
      <c r="E22" s="30" t="s">
        <v>743</v>
      </c>
      <c r="F22" s="30" t="s">
        <v>744</v>
      </c>
      <c r="G22" s="30" t="s">
        <v>745</v>
      </c>
    </row>
    <row r="23" customFormat="false" ht="15.75" hidden="false" customHeight="true" outlineLevel="0" collapsed="false">
      <c r="A23" s="30" t="s">
        <v>26</v>
      </c>
      <c r="B23" s="30" t="s">
        <v>683</v>
      </c>
      <c r="C23" s="30" t="s">
        <v>684</v>
      </c>
      <c r="D23" s="30" t="s">
        <v>746</v>
      </c>
      <c r="E23" s="30" t="s">
        <v>747</v>
      </c>
      <c r="F23" s="30" t="s">
        <v>748</v>
      </c>
      <c r="G23" s="30" t="s">
        <v>749</v>
      </c>
    </row>
    <row r="24" customFormat="false" ht="15.75" hidden="false" customHeight="true" outlineLevel="0" collapsed="false">
      <c r="A24" s="30" t="s">
        <v>26</v>
      </c>
      <c r="B24" s="30" t="s">
        <v>689</v>
      </c>
      <c r="C24" s="30" t="s">
        <v>690</v>
      </c>
      <c r="D24" s="30" t="s">
        <v>750</v>
      </c>
      <c r="E24" s="30" t="s">
        <v>751</v>
      </c>
      <c r="F24" s="30" t="s">
        <v>752</v>
      </c>
      <c r="G24" s="30" t="s">
        <v>753</v>
      </c>
    </row>
    <row r="25" customFormat="false" ht="15.75" hidden="false" customHeight="true" outlineLevel="0" collapsed="false">
      <c r="A25" s="30" t="s">
        <v>26</v>
      </c>
      <c r="B25" s="30" t="s">
        <v>695</v>
      </c>
      <c r="C25" s="30" t="s">
        <v>696</v>
      </c>
      <c r="D25" s="30" t="s">
        <v>754</v>
      </c>
      <c r="E25" s="30" t="s">
        <v>755</v>
      </c>
      <c r="F25" s="30" t="s">
        <v>699</v>
      </c>
      <c r="G25" s="30" t="s">
        <v>756</v>
      </c>
    </row>
    <row r="26" customFormat="false" ht="15.75" hidden="false" customHeight="true" outlineLevel="0" collapsed="false">
      <c r="A26" s="30" t="s">
        <v>26</v>
      </c>
      <c r="B26" s="30" t="s">
        <v>701</v>
      </c>
      <c r="C26" s="30" t="s">
        <v>702</v>
      </c>
      <c r="D26" s="30" t="s">
        <v>757</v>
      </c>
      <c r="E26" s="30" t="s">
        <v>758</v>
      </c>
      <c r="F26" s="30" t="s">
        <v>705</v>
      </c>
      <c r="G26" s="30" t="s">
        <v>759</v>
      </c>
    </row>
    <row r="27" customFormat="false" ht="15.75" hidden="false" customHeight="true" outlineLevel="0" collapsed="false">
      <c r="A27" s="30" t="s">
        <v>26</v>
      </c>
      <c r="B27" s="30" t="s">
        <v>707</v>
      </c>
      <c r="C27" s="30" t="s">
        <v>708</v>
      </c>
      <c r="D27" s="30" t="s">
        <v>760</v>
      </c>
      <c r="E27" s="30" t="s">
        <v>761</v>
      </c>
      <c r="F27" s="30" t="s">
        <v>711</v>
      </c>
      <c r="G27" s="30" t="s">
        <v>712</v>
      </c>
    </row>
    <row r="28" customFormat="false" ht="15.75" hidden="false" customHeight="true" outlineLevel="0" collapsed="false">
      <c r="A28" s="30" t="s">
        <v>26</v>
      </c>
      <c r="B28" s="30" t="s">
        <v>713</v>
      </c>
      <c r="C28" s="30" t="s">
        <v>714</v>
      </c>
      <c r="D28" s="30" t="s">
        <v>762</v>
      </c>
      <c r="E28" s="30" t="s">
        <v>763</v>
      </c>
      <c r="F28" s="30" t="s">
        <v>721</v>
      </c>
      <c r="G28" s="30"/>
    </row>
    <row r="29" customFormat="false" ht="15.75" hidden="false" customHeight="true" outlineLevel="0" collapsed="false">
      <c r="A29" s="30" t="s">
        <v>26</v>
      </c>
      <c r="B29" s="30" t="s">
        <v>718</v>
      </c>
      <c r="C29" s="30" t="s">
        <v>719</v>
      </c>
      <c r="D29" s="30" t="s">
        <v>762</v>
      </c>
      <c r="E29" s="30" t="s">
        <v>764</v>
      </c>
      <c r="F29" s="30" t="s">
        <v>765</v>
      </c>
      <c r="G29" s="30"/>
    </row>
    <row r="30" customFormat="false" ht="15.75" hidden="false" customHeight="true" outlineLevel="0" collapsed="false">
      <c r="A30" s="30" t="s">
        <v>26</v>
      </c>
      <c r="B30" s="30" t="s">
        <v>723</v>
      </c>
      <c r="C30" s="30" t="s">
        <v>724</v>
      </c>
      <c r="D30" s="30" t="s">
        <v>760</v>
      </c>
      <c r="E30" s="30" t="s">
        <v>766</v>
      </c>
      <c r="F30" s="30" t="s">
        <v>726</v>
      </c>
      <c r="G30" s="30"/>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2026-05-22T17:50:21Z</dcterms:created>
  <dc:creator>openpyxl</dc:creator>
  <dc:description/>
  <dc:language>en-US</dc:language>
  <cp:lastModifiedBy/>
  <dcterms:modified xsi:type="dcterms:W3CDTF">2026-05-22T17:50:22Z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