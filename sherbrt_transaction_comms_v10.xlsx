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Scenarios" sheetId="2" state="visible" r:id="rId4"/>
    <sheet name="Log" sheetId="3" state="visible" r:id="rId5"/>
    <sheet name="Legend" sheetId="4" state="visible" r:id="rId6"/>
    <sheet name="Future Comms" sheetId="5" state="visible" r:id="rId7"/>
    <sheet name="PR-4 Instructions" sheetId="6" state="visible" r:id="rId8"/>
  </sheets>
  <definedNames>
    <definedName function="false" hidden="true" localSheetId="4" name="_xlnm._FilterDatabase" vbProcedure="false">'Future Comms'!$A$4:$J$7</definedName>
    <definedName function="false" hidden="true" localSheetId="2" name="_xlnm._FilterDatabase" vbProcedure="false">Log!$A$4:$N$28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<sst xmlns="http://schemas.openxmlformats.org/spreadsheetml/2006/main" count="970" uniqueCount="590">
  <si>
    <t xml:space="preserve">Comms Log — Summary</t>
  </si>
  <si>
    <t xml:space="preserve">Live counts — update automatically as you edit the Comms Log tab.</t>
  </si>
  <si>
    <t xml:space="preserve">Metric</t>
  </si>
  <si>
    <t xml:space="preserve">SMS</t>
  </si>
  <si>
    <t xml:space="preserve">Email</t>
  </si>
  <si>
    <t xml:space="preserve">Total</t>
  </si>
  <si>
    <t xml:space="preserve">Total messages</t>
  </si>
  <si>
    <t xml:space="preserve">Sent to Lender</t>
  </si>
  <si>
    <t xml:space="preserve">Sent to Borrower</t>
  </si>
  <si>
    <t xml:space="preserve">Verified</t>
  </si>
  <si>
    <t xml:space="preserve">Needs attention</t>
  </si>
  <si>
    <t xml:space="preserve">Edit messaging on the "Log" tab. Placeholder keys live on the "Legend" tab.</t>
  </si>
  <si>
    <t xml:space="preserve">Test Scenarios — Transaction Comms QA</t>
  </si>
  <si>
    <t xml:space="preserve">Live-data test plan for validating every SMS and email touchpoint. Scenarios ordered chronologically by where they diverge in the booking lifecycle. Priority: P0=this sprint, P1=next, P2=edge/nice-to-have. Use the same test accounts across all scenarios; vary first/last names so each scenario self-labels in Twilio + SendGrid logs.</t>
  </si>
  <si>
    <t xml:space="preserve">  TEST ACCOUNTS</t>
  </si>
  <si>
    <t xml:space="preserve">Role</t>
  </si>
  <si>
    <t xml:space="preserve">First Name</t>
  </si>
  <si>
    <t xml:space="preserve">Last Name</t>
  </si>
  <si>
    <t xml:space="preserve">Phone</t>
  </si>
  <si>
    <t xml:space="preserve">Address</t>
  </si>
  <si>
    <t xml:space="preserve">Borrower</t>
  </si>
  <si>
    <t xml:space="preserve">&lt;scenario&gt;</t>
  </si>
  <si>
    <t xml:space="preserve">BORROWER</t>
  </si>
  <si>
    <t xml:space="preserve">amalia@shoponsherbet.com</t>
  </si>
  <si>
    <t xml:space="preserve">4152023068</t>
  </si>
  <si>
    <t xml:space="preserve">1795 Chestnut St Apt 7, San Francisco, CA 94123</t>
  </si>
  <si>
    <t xml:space="preserve">Lender</t>
  </si>
  <si>
    <t xml:space="preserve">LENDER</t>
  </si>
  <si>
    <t xml:space="preserve">amaliaebornstein@gmail.com</t>
  </si>
  <si>
    <t xml:space="preserve">5103977781</t>
  </si>
  <si>
    <t xml:space="preserve">1745 Pacific Ave Apt 202, San Francisco, CA 94109</t>
  </si>
  <si>
    <t xml:space="preserve">  NAMING CONVENTION</t>
  </si>
  <si>
    <t xml:space="preserve">Set the borrower's and lender's first names to the scenario label (e.g. 'IDEAL', 'IGNORED', 'DECLINED', 'UNSHIPPED', 'LATE', 'SUNDAY'). SMS copy interpolates ${borrowerFirstName} / ${lenderFirstName}, so outbound traffic self-identifies. Example SMS for 1-SMS will read "Sherbrt 🍧: IDEAL wants to borrow your ..." — easy to grep Twilio + SendGrid logs by scenario name.</t>
  </si>
  <si>
    <t xml:space="preserve">  PRE-TEST BLOCKERS  —  must ship before live QA begins</t>
  </si>
  <si>
    <t xml:space="preserve">All 5 blockers + 1 follow-on (H3) shipped in PR #53 — merge commit bb51f1f — on April 21 2026. Web service live at 1:54 PM PT. Verify worker services (shipby-reminders, return-reminders, overdue-reminders, auto-cancel-unshipped) also deployed to bb51f1f before running Scenario 4 or 5. Scenarios 1, 2, 3, 6 are eligible now. Scenarios 4, 5 eligible once worker deploys confirmed.</t>
  </si>
  <si>
    <t xml:space="preserve">#</t>
  </si>
  <si>
    <t xml:space="preserve">Severity</t>
  </si>
  <si>
    <t xml:space="preserve">File</t>
  </si>
  <si>
    <t xml:space="preserve">Line(s)</t>
  </si>
  <si>
    <t xml:space="preserve">Bug (one-liner)</t>
  </si>
  <si>
    <t xml:space="preserve">Fix approach</t>
  </si>
  <si>
    <t xml:space="preserve">Blocks which scenarios</t>
  </si>
  <si>
    <t xml:space="preserve">PR status</t>
  </si>
  <si>
    <t xml:space="preserve">Owner</t>
  </si>
  <si>
    <t xml:space="preserve">B1</t>
  </si>
  <si>
    <t xml:space="preserve">BLOCKER</t>
  </si>
  <si>
    <t xml:space="preserve">server/scripts/sendOverdueReminders.js</t>
  </si>
  <si>
    <t xml:space="preserve">590</t>
  </si>
  <si>
    <t xml:space="preserve">OVERDUE_FEES_CHARGING_ENABLED is undefined — every skip-path log event throws ReferenceError and bumps chargesFailed.</t>
  </si>
  <si>
    <t xml:space="preserve">Use process.env.OVERDUE_FEES_CHARGING_ENABLED === 'true' (mirrors L213).</t>
  </si>
  <si>
    <t xml:space="preserve">Scenario 5 log readability — PR-4 dry-run analysis relies on skip-path logs being structured, not errors.</t>
  </si>
  <si>
    <t xml:space="preserve">Shipped (0a28ed5)</t>
  </si>
  <si>
    <t xml:space="preserve">B2</t>
  </si>
  <si>
    <t xml:space="preserve">server/webhooks/shippoTracking.js; server/scripts/resendDeliverySms.js</t>
  </si>
  <si>
    <t xml:space="preserve">1346, 1353, 128</t>
  </si>
  <si>
    <t xml:space="preserve">Orphan transition/store-shipping-urls — doesn't exist in process.edn. Every outbound first-scan + delivered webhook silently fails to persist protectedData. hasOutboundScan() returns false for every shipped tx.</t>
  </si>
  <si>
    <t xml:space="preserve">Replace each transition call with upsertProtectedData(txId, {...}, {source:"webhook"}); reference pattern at shippoTracking.js:901 + :1102.</t>
  </si>
  <si>
    <t xml:space="preserve">Scenarios 1 (dedupe-trust), 4 (auto-cancel correctness), also explains why AUTO_CANCEL_DRY_RUN=1 is still on.</t>
  </si>
  <si>
    <t xml:space="preserve">Shipped (f681210)</t>
  </si>
  <si>
    <t xml:space="preserve">B3</t>
  </si>
  <si>
    <t xml:space="preserve">server/scripts/sendShippingReminders.js</t>
  </si>
  <si>
    <t xml:space="preserve">237-241</t>
  </si>
  <si>
    <t xml:space="preserve">48h transition/cancel path is legacy — overlaps with sendAutoCancelUnshipped and would race once AUTO_CANCEL_DRY_RUN=0; silent refund to borrower (no SMS).</t>
  </si>
  <si>
    <t xml:space="preserve">Delete the 48h auto-cancel block entirely. sendAutoCancelUnshipped.js owns cancel policy now.</t>
  </si>
  <si>
    <t xml:space="preserve">Scenario 4 (race + wrong-reason cancel if lender ships late).</t>
  </si>
  <si>
    <t xml:space="preserve">Shipped (fae60b1)</t>
  </si>
  <si>
    <t xml:space="preserve">H1</t>
  </si>
  <si>
    <t xml:space="preserve">HIGH</t>
  </si>
  <si>
    <t xml:space="preserve">server/scripts/sendReturnReminders.js</t>
  </si>
  <si>
    <t xml:space="preserve">621-642</t>
  </si>
  <si>
    <t xml:space="preserve">withinSendWindow() check runs AFTER acquireRedisLock — a quiet-hours tick claims the 24h lock, losing the whole day's T-1/TODAY SMS.</t>
  </si>
  <si>
    <t xml:space="preserve">Move withinSendWindow() check ABOVE acquireRedisLock.</t>
  </si>
  <si>
    <t xml:space="preserve">Scenario 1 (return reminder reliability); Scenario 5 depends on return reminders firing.</t>
  </si>
  <si>
    <t xml:space="preserve">Shipped (3d4271a)</t>
  </si>
  <si>
    <t xml:space="preserve">H2</t>
  </si>
  <si>
    <t xml:space="preserve">189</t>
  </si>
  <si>
    <t xml:space="preserve">Third instance of the silent sdk.transactions.update pattern — same bug class as the two scripts fixed in April 2026.</t>
  </si>
  <si>
    <t xml:space="preserve">Replace updateTransactionProtectedData with upsertProtectedData (pattern from server/lib/txData.js).</t>
  </si>
  <si>
    <t xml:space="preserve">None directly (Redis lock covers), but should ship in same PR as H1 since same file.</t>
  </si>
  <si>
    <t xml:space="preserve">Shipped (527ae46)</t>
  </si>
  <si>
    <t xml:space="preserve">H3</t>
  </si>
  <si>
    <t xml:space="preserve">server/scripts/sendShipByReminders.js</t>
  </si>
  <si>
    <t xml:space="preserve">257</t>
  </si>
  <si>
    <t xml:space="preserve">Fourth instance of silent sdk.transactions.update pattern — identified during 9.2 PR as follow-on to H2 sweep.</t>
  </si>
  <si>
    <t xml:space="preserve">Replace with upsertProtectedData matching H2 pattern exactly; delete orphaned helper.</t>
  </si>
  <si>
    <t xml:space="preserve">None directly — cosmetic logs. Folded into 9.2 PR to close the pattern sweep.</t>
  </si>
  <si>
    <t xml:space="preserve">Shipped (3600180)</t>
  </si>
  <si>
    <t xml:space="preserve">  POST-DEPLOY FINDINGS  —  discovered during 9.2 validation (April 21, 2026)</t>
  </si>
  <si>
    <t xml:space="preserve">Issues surfaced while validating the 9.2 PR in production on the Overdue / Late-Fee Reminders &amp; Charges cron. All 4 are now resolved as of April 21 2026: F1 + F2 + F4 were Render dashboard config fixes (SendGrid key, schedule, from-address), F3 shipped as PR #54 (9.2.1). The overdue pipeline is fully operational — all scenarios now unblocked.</t>
  </si>
  <si>
    <t xml:space="preserve">What</t>
  </si>
  <si>
    <t xml:space="preserve">Where</t>
  </si>
  <si>
    <t xml:space="preserve">Root cause</t>
  </si>
  <si>
    <t xml:space="preserve">Fix</t>
  </si>
  <si>
    <t xml:space="preserve">Gate</t>
  </si>
  <si>
    <t xml:space="preserve">Status</t>
  </si>
  <si>
    <t xml:space="preserve">Resolved</t>
  </si>
  <si>
    <t xml:space="preserve">F1</t>
  </si>
  <si>
    <t xml:space="preserve">SendGrid API key missing on overdue cron</t>
  </si>
  <si>
    <t xml:space="preserve">Render → Overdue / Late-Fee Reminders &amp; Charges → Environment</t>
  </si>
  <si>
    <t xml:space="preserve">SENDGRID_API_KEY not propagated to cron at setup time; emailClient logged hasKey: false</t>
  </si>
  <si>
    <t xml:space="preserve">Added SENDGRID_API_KEY to cron env vars (same value as web service)</t>
  </si>
  <si>
    <t xml:space="preserve">Blocks 9.6-Email + 9.7-Email until set</t>
  </si>
  <si>
    <t xml:space="preserve">FIXED</t>
  </si>
  <si>
    <t xml:space="preserve">April 21 2026</t>
  </si>
  <si>
    <t xml:space="preserve">F2</t>
  </si>
  <si>
    <t xml:space="preserve">LOW</t>
  </si>
  <si>
    <t xml:space="preserve">Cron schedule drift (09:00 UTC vs code-expected 17:00 UTC)</t>
  </si>
  <si>
    <t xml:space="preserve">Render → Overdue / Late-Fee Reminders &amp; Charges → Settings → Schedule</t>
  </si>
  <si>
    <t xml:space="preserve">PR-3a updated the code's assumed run time but didn't touch the Render cron schedule</t>
  </si>
  <si>
    <t xml:space="preserve">Changed schedule to 0 17 * * * (17:00 UTC = 10 AM PT)</t>
  </si>
  <si>
    <t xml:space="preserve">Non-blocking, but SMS were firing at wrong hour relative to quiet-hours gate</t>
  </si>
  <si>
    <t xml:space="preserve">F3</t>
  </si>
  <si>
    <t xml:space="preserve">Cron clean-exit bug — every run reported "Failed" despite completing work</t>
  </si>
  <si>
    <t xml:space="preserve">server/scripts/sendOverdueReminders.js:936-938 (no-flag else branch)</t>
  </si>
  <si>
    <t xml:space="preserve">Called sendOverdueReminders() without await and without process.exit. Redis + SDK keep-alives held event loop until Render cron timeout.</t>
  </si>
  <si>
    <t xml:space="preserve">Wrapped call in .then(process.exit(0)) / .catch(process.exit(1)). PR #54, commit 9b764e1.</t>
  </si>
  <si>
    <t xml:space="preserve">Blocks Scenario 5 (need reliable success/failure signal from Render runs)</t>
  </si>
  <si>
    <t xml:space="preserve">F4</t>
  </si>
  <si>
    <t xml:space="preserve">EMAIL_FROM_ADDRESS missing on overdue cron</t>
  </si>
  <si>
    <t xml:space="preserve">emailClient.js:37 requires BOTH SENDGRID_API_KEY and EMAIL_FROM_ADDRESS to be set. Only SENDGRID_API_KEY was added in F1.</t>
  </si>
  <si>
    <t xml:space="preserve">Add EMAIL_FROM_ADDRESS env var (copy value from web service env vars)</t>
  </si>
  <si>
    <t xml:space="preserve">Blocks 9.6-Email + 9.7-Email from actually sending (currently silently skipped)</t>
  </si>
  <si>
    <t xml:space="preserve">  SCENARIO OVERVIEW  (chronological by lifecycle divergence)</t>
  </si>
  <si>
    <t xml:space="preserve">1</t>
  </si>
  <si>
    <t xml:space="preserve">P0</t>
  </si>
  <si>
    <t xml:space="preserve">2</t>
  </si>
  <si>
    <t xml:space="preserve">3</t>
  </si>
  <si>
    <t xml:space="preserve">P1</t>
  </si>
  <si>
    <t xml:space="preserve">4</t>
  </si>
  <si>
    <t xml:space="preserve">5</t>
  </si>
  <si>
    <t xml:space="preserve">LATE RETURN</t>
  </si>
  <si>
    <t xml:space="preserve">Post-delivery / return window</t>
  </si>
  <si>
    <t xml:space="preserve">Borrower keeps item past return date → Day 1–6 overdue flow, $0.50 test charges on days 2–6, day-6 ops alert + daily digest, hard stop day 7+. Doubles as PR-4 exit criterion. NEVER-RETURNED is this test run to day 7+ without mid-cycle scan.</t>
  </si>
  <si>
    <t xml:space="preserve">PR-4 staging dry-run (see PR-4 Instructions tab). Also validates PR-1 through PR-5 in one shot.</t>
  </si>
  <si>
    <t xml:space="preserve">All of Scenario 1 through 8, then 9.1→9.6, 9.6-Email (ops), 9.7-Email (digest, every cron run)</t>
  </si>
  <si>
    <t xml:space="preserve">HIGH — real Stripe charges; requires LATE_FEE_CENTS_OVERRIDE=50 + OVERDUE_FEES_CHARGING_ENABLED=true in Render</t>
  </si>
  <si>
    <t xml:space="preserve">Eligible — PR merged (bb51f1f)</t>
  </si>
  <si>
    <t xml:space="preserve">6</t>
  </si>
  <si>
    <t xml:space="preserve">  SCENARIO 1  [P0]  —  IDEAL  (baseline happy path)</t>
  </si>
  <si>
    <t xml:space="preserve">Goal</t>
  </si>
  <si>
    <t xml:space="preserve">Confirm the full baseline comms flow fires exactly once in correct order with no stragglers.</t>
  </si>
  <si>
    <t xml:space="preserve">Setup</t>
  </si>
  <si>
    <t xml:space="preserve">1. Create borrower account: first name "IDEAL", last name "BORROWER" using shared creds.
2. Create lender account: first name "IDEAL", last name "LENDER".
3. Lender lists a cheap test item (e.g. $5/day rental).
4. Borrower requests a 2-day booking starting 2 days out.
5. Lender accepts within 15–30 min (well inside 60 min window).
6. Lender drops off / scans outbound label same day.
7. Borrower ships return by its due date.</t>
  </si>
  <si>
    <t xml:space="preserve">Related PR / Feature</t>
  </si>
  <si>
    <t xml:space="preserve">Baseline — not tied to a specific PR. Regression check for all verified comms.</t>
  </si>
  <si>
    <t xml:space="preserve">How to observe</t>
  </si>
  <si>
    <t xml:space="preserve">Twilio console (filter by to-number), SendGrid activity feed (filter by recipient), Sharetribe Console → Transactions → latest tx → protectedData, Render logs filtered by scenario first-name.</t>
  </si>
  <si>
    <t xml:space="preserve">   Expected comms (should FIRE)</t>
  </si>
  <si>
    <t xml:space="preserve">Log ID</t>
  </si>
  <si>
    <t xml:space="preserve">Channel</t>
  </si>
  <si>
    <t xml:space="preserve">Recipient</t>
  </si>
  <si>
    <t xml:space="preserve">Flow Step</t>
  </si>
  <si>
    <t xml:space="preserve">When / Trigger</t>
  </si>
  <si>
    <t xml:space="preserve">What to verify</t>
  </si>
  <si>
    <t xml:space="preserve">Pass?</t>
  </si>
  <si>
    <t xml:space="preserve">Notes</t>
  </si>
  <si>
    <t xml:space="preserve">1-SMS</t>
  </si>
  <si>
    <t xml:space="preserve">1 – New borrow request</t>
  </si>
  <si>
    <t xml:space="preserve">On borrower submit</t>
  </si>
  <si>
    <t xml:space="preserve">Lender receives: 'Sherbrt 🍧: IDEAL wants to borrow your [Item]...' with /sale link.</t>
  </si>
  <si>
    <t xml:space="preserve">1-Email</t>
  </si>
  <si>
    <t xml:space="preserve">Sharetribe built-in email to lender with Accept/Decline link.</t>
  </si>
  <si>
    <t xml:space="preserve">2a-SMS</t>
  </si>
  <si>
    <t xml:space="preserve">2a – Request accepted</t>
  </si>
  <si>
    <t xml:space="preserve">On lender accept (within 60 min, so 1a does NOT fire)</t>
  </si>
  <si>
    <t xml:space="preserve">'🎉 Your Sherbrt request was accepted\! "[Item]" from IDEAL is confirmed. ...'</t>
  </si>
  <si>
    <t xml:space="preserve">2a-Email</t>
  </si>
  <si>
    <t xml:space="preserve">On lender accept</t>
  </si>
  <si>
    <t xml:space="preserve">Confirmation email with booking details + tracking-to-come language.</t>
  </si>
  <si>
    <t xml:space="preserve">2c-SMS</t>
  </si>
  <si>
    <t xml:space="preserve">4-SMS</t>
  </si>
  <si>
    <t xml:space="preserve">6-SMS</t>
  </si>
  <si>
    <t xml:space="preserve">7-SMS</t>
  </si>
  <si>
    <t xml:space="preserve">8-SMS</t>
  </si>
  <si>
    <t xml:space="preserve">10-SMS</t>
  </si>
  <si>
    <t xml:space="preserve">11-SMS</t>
  </si>
  <si>
    <t xml:space="preserve">11 – Return delivered to lender</t>
  </si>
  <si>
    <t xml:space="preserve">On return delivered webhook</t>
  </si>
  <si>
    <t xml:space="preserve">'[Item] is back home\!' — verifies Step 11 added Apr 15 2026.</t>
  </si>
  <si>
    <t xml:space="preserve">   Comms that must NOT fire (verify absence)</t>
  </si>
  <si>
    <t xml:space="preserve">1a-SMS</t>
  </si>
  <si>
    <t xml:space="preserve">2b-SMS / 2b-Email</t>
  </si>
  <si>
    <t xml:space="preserve">3.1-SMS / 3.1b-SMS</t>
  </si>
  <si>
    <t xml:space="preserve">3.2-SMS / 3.2b-SMS</t>
  </si>
  <si>
    <t xml:space="preserve">Lender ships, so auto-cancel-unshipped must not fire.</t>
  </si>
  <si>
    <t xml:space="preserve">  SCENARIO 2  [P0]  —  IGNORED REQUEST  (lender never accepts)</t>
  </si>
  <si>
    <t xml:space="preserve">Confirm lender request + 60-min nudge fire, then the request expires cleanly without spurious downstream comms.</t>
  </si>
  <si>
    <t xml:space="preserve">1. Create IGNORED BORROWER + IGNORED LENDER accounts (same shared creds, different names).
2. Lender lists test item.
3. Borrower submits request.
4. Do NOT accept or decline from lender side. Wait past 60 min to trigger 1a-SMS.
5. Continue to ignore until Flex expires the request (per process.edn expire config).
6. Verify no accept-path or decline-path comms fire post-expiry.</t>
  </si>
  <si>
    <t xml:space="preserve">Lender request reminder Redis migration (Apr 14 2026 — commits 63a9a192e / 177731103). Fixes the silent-duplicate-send bug where sdk.transactions.update failed on Integration SDK.</t>
  </si>
  <si>
    <t xml:space="preserve">1a – Lender nudge</t>
  </si>
  <si>
    <t xml:space="preserve">60 min after submit (cron)</t>
  </si>
  <si>
    <t xml:space="preserve">Single reminder SMS; Redis lenderReminder:{txId}:sent set; no repeats on subsequent ticks.</t>
  </si>
  <si>
    <t xml:space="preserve">Sharetribe expiry email</t>
  </si>
  <si>
    <t xml:space="preserve">(built-in) booking-expired-request</t>
  </si>
  <si>
    <t xml:space="preserve">On transition/expire fire</t>
  </si>
  <si>
    <t xml:space="preserve">Sharetribe built-in template notifies borrower that the request expired. Confirm arrival in SendGrid activity feed.</t>
  </si>
  <si>
    <t xml:space="preserve">2a / 2a-Email / 2b / 2b-Email</t>
  </si>
  <si>
    <t xml:space="preserve">3 / 2c / 4 / 6</t>
  </si>
  <si>
    <t xml:space="preserve">3.1 / 3.1b / 3.2 / 3.2b</t>
  </si>
  <si>
    <t xml:space="preserve">No accept ⇒ no ship-by or auto-cancel path.</t>
  </si>
  <si>
    <t xml:space="preserve">  SCENARIO 3  [P1]  —  DECLINED REQUEST  (lender explicitly declines)</t>
  </si>
  <si>
    <t xml:space="preserve">Confirm lender decline fires 2b-SMS + 2b-Email to borrower, auto-releases the payment hold, and no downstream comms fire. If this test passes, promote 2b-SMS and 2b-Email from Unverified → Verified on the Log tab.</t>
  </si>
  <si>
    <t xml:space="preserve">1. Create DECLINED BORROWER + DECLINED LENDER accounts.
2. Lender lists test item.
3. Borrower submits request (lender receives 1-SMS + 1-Email).
4. Lender hits Decline in the Sherbrt UI within 60 min (avoids 1a-SMS).
5. Verify borrower receives 2b-SMS + 2b-Email immediately.
6. Verify Stripe auth/hold is released (no capture).
7. Confirm no downstream comms trigger.</t>
  </si>
  <si>
    <t xml:space="preserve">2b-SMS + 2b-Email currently listed as "None" / unverified on the Log tab. This test is the gating criterion for promoting them to Verified. Code location (hypothesis): server/api/transition-privileged.js in the decline branch.</t>
  </si>
  <si>
    <t xml:space="preserve">2b-SMS</t>
  </si>
  <si>
    <t xml:space="preserve">2b-Email</t>
  </si>
  <si>
    <t xml:space="preserve">2b – Request rejected</t>
  </si>
  <si>
    <t xml:space="preserve">On lender decline</t>
  </si>
  <si>
    <t xml:space="preserve">Decline email arrives. Verify subject line + body. Currently unverified — this test promotes it.</t>
  </si>
  <si>
    <t xml:space="preserve">2a / 2a-Email</t>
  </si>
  <si>
    <t xml:space="preserve">No ship-by or auto-cancel path since booking never moves to accepted.</t>
  </si>
  <si>
    <t xml:space="preserve">  SCENARIO 4  [P0]  —  UNSHIPPED  (accepted but never shipped → auto-cancel)</t>
  </si>
  <si>
    <t xml:space="preserve">End-to-end validation of Step 3.2 (auto-cancel-unshipped): ship-by reminders fire, 11:59 pm lender-local cutoff triggers the cancel transition, full refund posts, Shippo labels voided, both parties notified.</t>
  </si>
  <si>
    <t xml:space="preserve">1. BLOCKER PREREQUISITE: confirm 9.2 pre-QA PR merged (B1 + B2 + B3 all in main). See Pre-test Blockers section above.
2. Create UNSHIPPED BORROWER + UNSHIPPED LENDER accounts.
3. Lender lists test item; pick a non-Monday booking start date (Monday-grace is a separate sub-case).
4. In Render env: flip AUTO_CANCEL_DRY_RUN from 1 → 0 (currently 1 per render.yaml; safe to flip ONLY after B2 lands).
5. Borrower requests, lender accepts immediately (3-SMS fires).
6. Lender does NOT ship — no outbound scan should ever appear.
7. 24 h before ship-by: expect 3.1-SMS.
8. End of ship-by day (≥22:00 UTC tick): expect 3.1b-SMS.
9. 11:59 pm lender-local on booking start date: expect auto-cancel.
10. Verify both Shippo labels voided (outbound + return) + full Stripe refund (rental + commission + shipping).
11. After test: flip AUTO_CANCEL_DRY_RUN back to 1 or leave at 0 (per rollout plan).</t>
  </si>
  <si>
    <t xml:space="preserve">Step 3.2 auto-cancel-unshipped, shipped Apr 14 2026 (commit f17d91b18). Files: server/scripts/sendAutoCancelUnshipped.js, server/lib/shippo.js, process.edn v3 transition/auto-cancel-unshipped. B2 fix in 9.2 pre-QA PR unblocks hasOutboundScan() so this scenario can be trusted.</t>
  </si>
  <si>
    <t xml:space="preserve">Monday-grace variant: if booking start is Monday, deadline shifts to end of Tuesday — run as a follow-up sub-case once the non-Monday base case is clean. M2 from Apr 21 CC review: 2c-SMS (return-label provided) firing on an auto-cancelled booking is INTENTIONAL per scope docs (acceptance fires comms synchronously), but is confusing UX. CC suggested adding a tag to the auto-cancel SMS: 'earlier return label is no longer valid.' Log as copy-refinement ticket in Future Comms.</t>
  </si>
  <si>
    <t xml:space="preserve">On submit</t>
  </si>
  <si>
    <t xml:space="preserve">Standard lender SMS.</t>
  </si>
  <si>
    <t xml:space="preserve">3-SMS</t>
  </si>
  <si>
    <t xml:space="preserve">3.1-SMS</t>
  </si>
  <si>
    <t xml:space="preserve">3.1b-SMS</t>
  </si>
  <si>
    <t xml:space="preserve">3.2-SMS</t>
  </si>
  <si>
    <t xml:space="preserve">3.2b-SMS</t>
  </si>
  <si>
    <t xml:space="preserve">3.2 – Auto-expire notice (lender)</t>
  </si>
  <si>
    <t xml:space="preserve">Same tick as 3.2</t>
  </si>
  <si>
    <t xml:space="preserve">Lender SMS. Confirm transition/auto-cancel-unshipped fired (state: cancelled). Verify both Shippo labels voided.</t>
  </si>
  <si>
    <t xml:space="preserve">4 / 6</t>
  </si>
  <si>
    <t xml:space="preserve">48h transition/cancel (legacy)</t>
  </si>
  <si>
    <t xml:space="preserve">B3 fix removes this path. Verify only sendAutoCancelUnshipped fires the cancel.</t>
  </si>
  <si>
    <t xml:space="preserve">  SCENARIO 5  [P0]  —  LATE RETURN  (borrower keeps past due + NEVER RETURNED as extension)</t>
  </si>
  <si>
    <t xml:space="preserve">End-to-end validation of PR-4 staging dry-run: every day-N overdue SMS fires exactly once, $0.50 test charges land in Stripe on days 2–6, day-6 ops email + daily digest email arrive, day 7+ hard stops. Doubles as the PR-4 exit criterion before PR-6 (flip to $15 in prod).</t>
  </si>
  <si>
    <t xml:space="preserve">1. BLOCKER PREREQUISITE: confirm 9.2 pre-QA PR merged (B1 + B2 + B3 + H1 + H2 all in main). See Pre-test Blockers section above.
2. Create LATE BORROWER + LATE LENDER accounts.
3. ENV PREREQUISITE: set OVERDUE_FEES_CHARGING_ENABLED=true + LATE_FEE_CENTS_OVERRIDE=50 in Render. (See PR-4 Instructions tab for step-by-step.)
4. Lender lists item. Borrower requests short booking (1-2 days). Run full happy path through delivery.
5. Borrower does NOT ship the return on the due date. Let the 17:00 UTC overdue cron run each day.
6. Day 1 → 9.1-SMS only, NO charge.
7. Day 2 → 9.2-SMS + $0.50 charge #1 (for prior day). Repeat escalation days 3-5.
8. Day 6 → 9.6-SMS + $0.50 charge #5 (final) + 9.6-Email to ops + 9.7-Email digest.
9. Day 7+ (NEVER RETURNED extension) → HARD STOP. No SMS, no charge. Verify structured log shows overdue.charge.skip with reason=exceeded-max-chargeable-days.
10. OPTIONAL mid-cycle variant: have borrower ship the return on day 3 → confirm hasScan stops charging immediately (no lump-sum catch-up), and 10-SMS + 11-SMS fire normally.
11. REVERT env vars after test: set OVERDUE_FEES_CHARGING_ENABLED=false, remove LATE_FEE_CENTS_OVERRIDE.</t>
  </si>
  <si>
    <t xml:space="preserve">PR-4 staging dry-run (see PR-4 Instructions tab). Also validates PR-1 gates, PR-2 privileged transitions (process v4), PR-3a charging correctness + Redis SMS dedupe, PR-3b day-6 ops email + daily digest + quiet-hours gate, PR-5 structured logging. NEVER RETURNED (day 7+) is part of the same scenario — simply don't have borrower ship return. B1 fix is prerequisite for readable dry-run logs; B2 fix is prerequisite for hasScan stopping charges mid-cycle.</t>
  </si>
  <si>
    <t xml:space="preserve">9.7-Email fires at end of every cron run with non-empty buckets — expect one per day during days 1–6. Quiet-hours gate (8 AM – 11 PM PT) applies to SMS; cron runs at 17:00 UTC = 10 AM PT, inside the window. Verify protectedData.return.chargeHistory advances (5 entries at cap) and lastLateFeeDayCharged updates daily.</t>
  </si>
  <si>
    <t xml:space="preserve">1 through 8 (all)</t>
  </si>
  <si>
    <t xml:space="preserve">Mixed</t>
  </si>
  <si>
    <t xml:space="preserve">Full happy path through delivery + return reminders</t>
  </si>
  <si>
    <t xml:space="preserve">Normal flow leading up to return due date</t>
  </si>
  <si>
    <t xml:space="preserve">Same verifications as Scenario 1, steps 1–10.</t>
  </si>
  <si>
    <t xml:space="preserve">9.1-SMS</t>
  </si>
  <si>
    <t xml:space="preserve">9 – Overdue Day 1 (no charge)</t>
  </si>
  <si>
    <t xml:space="preserve">Day 1 cron (17:00 UTC, 1 business day past due)</t>
  </si>
  <si>
    <t xml:space="preserve">Copy says 'may apply' (softened per 9.1 refactor). NO Stripe charge. Redis overdueNotified:{txId}:1:sent set.</t>
  </si>
  <si>
    <t xml:space="preserve">9.7-Email</t>
  </si>
  <si>
    <t xml:space="preserve">Operator</t>
  </si>
  <si>
    <t xml:space="preserve">9 – Daily digest</t>
  </si>
  <si>
    <t xml:space="preserve">End of each overdue cron run, days 1-6</t>
  </si>
  <si>
    <t xml:space="preserve">Digest covers Model B buckets (charged + skipped_*). Arrives at OPS_ALERT_EMAIL.</t>
  </si>
  <si>
    <t xml:space="preserve">9.3-SMS</t>
  </si>
  <si>
    <t xml:space="preserve">9.4-SMS</t>
  </si>
  <si>
    <t xml:space="preserve">9.5-SMS</t>
  </si>
  <si>
    <t xml:space="preserve">9.6-SMS</t>
  </si>
  <si>
    <t xml:space="preserve">9.6-Email</t>
  </si>
  <si>
    <t xml:space="preserve">10-SMS (optional)</t>
  </si>
  <si>
    <t xml:space="preserve">11-SMS (optional)</t>
  </si>
  <si>
    <t xml:space="preserve">11 – Return delivered</t>
  </si>
  <si>
    <t xml:space="preserve">If return ultimately delivered</t>
  </si>
  <si>
    <t xml:space="preserve">Verify lender final-delivered SMS and that no further overdue comms fire after delivery.</t>
  </si>
  <si>
    <t xml:space="preserve">9.x on day 7+</t>
  </si>
  <si>
    <t xml:space="preserve">Duplicate 9.N on same day</t>
  </si>
  <si>
    <t xml:space="preserve">9.x after return scan</t>
  </si>
  <si>
    <t xml:space="preserve">3.2 / 3.2b</t>
  </si>
  <si>
    <t xml:space="preserve">Booking reached delivered — auto-cancel-unshipped path must not trigger.</t>
  </si>
  <si>
    <t xml:space="preserve">  SCENARIO 6  [P2]  —  SUNDAY EDGE CASES  (ship-by, return date, reminder day)</t>
  </si>
  <si>
    <t xml:space="preserve">Cover the three Sunday-related fixes shipped April 14, 2026. Each sub-case exercises a different code path; run them independently to isolate failures.</t>
  </si>
  <si>
    <t xml:space="preserve">Create SUNDAY BORROWER + SUNDAY LENDER accounts, then run each of the three sub-cases (A/B/C) below as separate bookings.
SUB-CASE A (ship-by Sunday): borrower books so ship-by falls on a Sunday. Expected: shipBy auto-adjusts to prior Saturday. Verify protectedData.outbound.shipByDate.
SUB-CASE B (return date Sunday): borrower books so return date falls on a Sunday. Expected: "Sunday end date" banner in checkout OrderBreakdown. Monday ship should NOT trigger a late fee (grace policy).
SUB-CASE C (24h reminder would fire Sunday): stage a booking where shipBy = Monday. Expected: 24h reminder fires Saturday (not Sunday). Copy drops "tomorrow" wording.</t>
  </si>
  <si>
    <t xml:space="preserve">None of these sub-cases involve payment side-effects, so low risk. Eligible to run anytime — no overlap with the 9.2 pre-QA blockers. Sub-case B is a VISUAL check — confirm banner copy at checkout: 'Sunday end date: Carriers don't run - ship Monday to avoid a late fee.' Sub-case C: the key copy change is removing the word 'tomorrow' from the 24h reminder.</t>
  </si>
  <si>
    <t xml:space="preserve">Banner (Sub-case B)</t>
  </si>
  <si>
    <t xml:space="preserve">UI</t>
  </si>
  <si>
    <t xml:space="preserve">Borrower (visual)</t>
  </si>
  <si>
    <t xml:space="preserve">Sunday end-date notice on checkout</t>
  </si>
  <si>
    <t xml:space="preserve">On checkout page for booking with Sunday return</t>
  </si>
  <si>
    <t xml:space="preserve">Banner visible: 'Sunday end date: Carriers don't run - ship Monday to avoid a late fee.'</t>
  </si>
  <si>
    <t xml:space="preserve">3.1-SMS (Sub-case C)</t>
  </si>
  <si>
    <t xml:space="preserve">3.1 – 24-h ship reminder (Saturday fire)</t>
  </si>
  <si>
    <t xml:space="preserve">Saturday, not Sunday, for Monday shipBy</t>
  </si>
  <si>
    <t xml:space="preserve">Copy: 'Please ship your item by [Monday date]'. NO 'tomorrow' wording. Verify reminderAt calc shifted from Sunday → Saturday.</t>
  </si>
  <si>
    <t xml:space="preserve">shipByDate adjust (Sub-case A)</t>
  </si>
  <si>
    <t xml:space="preserve">Data</t>
  </si>
  <si>
    <t xml:space="preserve">(internal)</t>
  </si>
  <si>
    <t xml:space="preserve">ship-by:adjust sunday_to_saturday</t>
  </si>
  <si>
    <t xml:space="preserve">At label creation if original shipBy = Sunday</t>
  </si>
  <si>
    <t xml:space="preserve">protectedData.outbound.shipByDate lands on Saturday. Reason logged as sunday_to_saturday.</t>
  </si>
  <si>
    <t xml:space="preserve">Why it must NOT fire</t>
  </si>
  <si>
    <t xml:space="preserve">Absent?</t>
  </si>
  <si>
    <t xml:space="preserve">3.1-SMS on Sunday</t>
  </si>
  <si>
    <t xml:space="preserve">Sub-case C: reminder must never fire on Sunday, even if shipBy is Monday.</t>
  </si>
  <si>
    <t xml:space="preserve">Banner on listing page</t>
  </si>
  <si>
    <t xml:space="preserve">Sub-case B: banner is checkout-only by design — must NOT show on listing page (EstimatedCustomerBreakdownMaybe passes showSundayEndDateNotice=false).</t>
  </si>
  <si>
    <t xml:space="preserve">Late fee on Monday ship</t>
  </si>
  <si>
    <t xml:space="preserve">Sub-case B: if borrower ships Monday after Sunday end date, day-1 overdue should treat this as on-time — no 9.1-SMS, no charge.</t>
  </si>
  <si>
    <t xml:space="preserve">Sherbrt — Transaction Communications Log</t>
  </si>
  <si>
    <t xml:space="preserve">SMS &amp; email touchpoints across the booking lifecycle. Dropdowns for Channel / Recipient / Verified. Filters live on the header row. See Legend tab for placeholder keys.</t>
  </si>
  <si>
    <t xml:space="preserve">ID</t>
  </si>
  <si>
    <t xml:space="preserve">Event / Trigger</t>
  </si>
  <si>
    <t xml:space="preserve">Timing</t>
  </si>
  <si>
    <t xml:space="preserve">Message Copy</t>
  </si>
  <si>
    <t xml:space="preserve">Message Example</t>
  </si>
  <si>
    <t xml:space="preserve">Key Links</t>
  </si>
  <si>
    <t xml:space="preserve">Policy / Notes</t>
  </si>
  <si>
    <t xml:space="preserve">Coded</t>
  </si>
  <si>
    <t xml:space="preserve">Code Location</t>
  </si>
  <si>
    <t xml:space="preserve">Priority</t>
  </si>
  <si>
    <t xml:space="preserve">1 - New borrow request</t>
  </si>
  <si>
    <t xml:space="preserve">Request created</t>
  </si>
  <si>
    <t xml:space="preserve">Immediately when borrower submits request</t>
  </si>
  <si>
    <t xml:space="preserve">Sherbrt 🍧: [Borrower First Name] wants to borrow your "[Item]", You'll earn [$Lender Earnings] 💸🤑. Tap to review &amp; accept: [request_link].</t>
  </si>
  <si>
    <t xml:space="preserve">Sherbrt 🍧: Amalia wants to borrow your "Faille Halter Mini Dress". You'll earn $21.24 💸🤑. Tap to review &amp; accept: https://sherbrt.com/sale/697a9426-9f99-4b5b-8894-f2b86b36c1c6</t>
  </si>
  <si>
    <t xml:space="preserve">Request / sale link</t>
  </si>
  <si>
    <t xml:space="preserve">Start of transaction. No funds captured until lender accepts (depending on Stripe flow).</t>
  </si>
  <si>
    <t xml:space="preserve">Yes</t>
  </si>
  <si>
    <t xml:space="preserve">server/api/initiate-privileged.js (tag: booking_request_to_lender_alt)</t>
  </si>
  <si>
    <t xml:space="preserve">Subject: [Borrower First Name] requested to book [Item] 
You have a new booking request for Faille Halter Mini Dress
Amalia B requested to book Faille Halter Mini Dress in Sherbrt.
Start
End
Sun
Tue
Feb 1
Feb 3
USD 8.33 × 3 days
24.99 USD
Sherbrt fee
-3.75 USD
You'll earn
21.24 USD
You need to accept the request by Feb 2, 2026, 12:00 AM. Otherwise the request will expire automatically and you won't get paid.
If the booked dates don't work for you, you can also choose to decline the request.
Accept or Decline the booking
Can't click the button? Here's a link for your convenience: https://www.sherbrt.com/sale/697a9426-9f99-4b5b-8894-f2b86b36c1c6/</t>
  </si>
  <si>
    <t xml:space="preserve">Amalia B requested to book Faille Halter Mini Dress
</t>
  </si>
  <si>
    <t xml:space="preserve">Request / sale link; Help/FAQ link (optional)</t>
  </si>
  <si>
    <t xml:space="preserve">Optional but recommended for lenders who don’t always see SMS.</t>
  </si>
  <si>
    <t xml:space="preserve">Sharetribe built-in email template</t>
  </si>
  <si>
    <t xml:space="preserve">1a - New borrow request reminder</t>
  </si>
  <si>
    <t xml:space="preserve">Request reminder</t>
  </si>
  <si>
    <t xml:space="preserve">60min after initial request</t>
  </si>
  <si>
    <t xml:space="preserve">Sherbrt 🍧: Don't leave [Borrower First Name] hanging! [$Lender Earnings] is waiting for you! 🤑🤑🤑 Just tap to accept: [request_link]."</t>
  </si>
  <si>
    <t xml:space="preserve">Sherbrt 🍧: Don't leave Amalia hanging! $51 is waiting for you! 🤑🤑🤑 Just tap to accept: https://sherbrt.com/sale/697a9426-9f99-4b5b-8894-f2b86b36c1c6</t>
  </si>
  <si>
    <t xml:space="preserve">server/scripts/sendLenderRequestReminders.js (tag: lender_request_reminder_60m)</t>
  </si>
  <si>
    <t xml:space="preserve">2a - Request accepted</t>
  </si>
  <si>
    <t xml:space="preserve">Lender accepts request</t>
  </si>
  <si>
    <t xml:space="preserve">Immediately on accept transition</t>
  </si>
  <si>
    <t xml:space="preserve">🎉 Sherbrt 🍧: Your request for “[Item]” was accepted! We’ll share tracking once it ships. View details: [transaction_link].</t>
  </si>
  <si>
    <t xml:space="preserve">🎉 Your Sherbrt request was accepted! 🍧 "Faille Halter Mini Dress" from Monica D is confirmed.  You'll receive tracking info once it ships! ✈️👗 https://www.sherbrt.com/r/eKrfVC9aa1</t>
  </si>
  <si>
    <t xml:space="preserve">Transaction / order link</t>
  </si>
  <si>
    <t xml:space="preserve">Depending on flow, card may now be charged or authorized.</t>
  </si>
  <si>
    <t xml:space="preserve">server/api/transition-privileged.js (tag: accept_to_borrower + accept_to_lender)</t>
  </si>
  <si>
    <t xml:space="preserve">Subject: Your booking request was accepted
Hi [Borrower First Name],
Good news! Your request for “[Item]” was accepted by [Lender First Name].
You’ll receive tracking details once the item ships. View your booking here: [transaction_link].
By completing this booking, you agree to Sherbrt’s Terms, including late return and replacement policies: [terms_link].
Sip, slay, repeat ✨
Sherbrt 🍧</t>
  </si>
  <si>
    <t xml:space="preserve">Your booking request was accepted
Monica D has accepted your booking request for Faille Halter Mini Dress from Feb 1, 2026 to Feb 3, 2026.
Your card has been charged for USD 40.91. Here's the booking breakdown.
Start
End
Sun
Tue
Feb 1
Feb 3
USD 8.33 × 3 days
24.99 USD
Sherbrt fee
5.00 USD
Total price
40.91 USD
View order details
Can't click the button? Here's a link for your convenience: https://www.sherbrt.com/order/697a9426-9f99-4b5b-8894-f2b86b36c1c6/
</t>
  </si>
  <si>
    <t xml:space="preserve">Transaction / order link; Terms link</t>
  </si>
  <si>
    <t xml:space="preserve">Reinforces terms at key commitment moment.</t>
  </si>
  <si>
    <t xml:space="preserve">2b - Request rejected</t>
  </si>
  <si>
    <t xml:space="preserve">Lender declines request</t>
  </si>
  <si>
    <t xml:space="preserve">Immediately on decline transition</t>
  </si>
  <si>
    <t xml:space="preserve">Sherbrt 🍧: Thanks for requesting “[Item]”. This one wasn’t available—browse more looks on Sherbrt: [browse_link].</t>
  </si>
  <si>
    <t xml:space="preserve">Browse/search link</t>
  </si>
  <si>
    <t xml:space="preserve">Flow ends for this transaction.</t>
  </si>
  <si>
    <t xml:space="preserve">server/api/transition-privileged.js (tag: reject_to_borrower)</t>
  </si>
  <si>
    <t xml:space="preserve">P2</t>
  </si>
  <si>
    <t xml:space="preserve">Subject: Update on your Sherbrt request
Hi [Borrower First Name],
Your request for “[Item]” wasn’t accepted this time.
You’ve not been charged for this booking. Explore more outfits on Sherbrt here: [browse_link].
Sherbrt 🍧</t>
  </si>
  <si>
    <t xml:space="preserve">Browse/search link; Support link (optional)</t>
  </si>
  <si>
    <t xml:space="preserve">Confirms no charge; nudges to keep browsing.</t>
  </si>
  <si>
    <t xml:space="preserve">No</t>
  </si>
  <si>
    <t xml:space="preserve">Not built — relies on Sharetribe default decline email</t>
  </si>
  <si>
    <t xml:space="preserve">2c- Return Label Provided </t>
  </si>
  <si>
    <t xml:space="preserve">📦 Your return label is ready! Use this to ship back: [Label link]</t>
  </si>
  <si>
    <t xml:space="preserve">📦 Your return label is ready! Use this to ship back: https://www.sherbrt.com/r/M9PMIJ208f</t>
  </si>
  <si>
    <t xml:space="preserve">Shipping label shippo link</t>
  </si>
  <si>
    <t xml:space="preserve">server/api/transition-privileged.js (tag: return_label_ready_to_borrower)</t>
  </si>
  <si>
    <t xml:space="preserve">3 - Outbound label / QR created</t>
  </si>
  <si>
    <t xml:space="preserve">Outbound shipping label or QR created</t>
  </si>
  <si>
    <t xml:space="preserve">When label creation succeeds</t>
  </si>
  <si>
    <t xml:space="preserve">Sherbrt 🍧: Ship “[Item]” by [Ship-by Date]. Shipping label: [qr_or_label_link].</t>
  </si>
  <si>
    <t xml:space="preserve">Sherbrt : Ship "Faille Halter Mini Dress" by Apr 14. Shipping label: https://www.sherbrt.com/r/9W4qo8c4db</t>
  </si>
  <si>
    <t xml:space="preserve">QR/label link; Tracking link (optional)</t>
  </si>
  <si>
    <t xml:space="preserve">Ship-by date must match your Shippo/UPS logic.</t>
  </si>
  <si>
    <t xml:space="preserve">server/api/transition-privileged.js (tag: label_ready_to_lender + label_created_to_borrower)</t>
  </si>
  <si>
    <t xml:space="preserve">3.1 - Outbound ship reminder</t>
  </si>
  <si>
    <t xml:space="preserve">24 hours before ship-by date AND no carrier "accepted" scan yet</t>
  </si>
  <si>
    <t xml:space="preserve">T-24h to [Ship-by Date]</t>
  </si>
  <si>
    <t xml:space="preserve">⏰ Sherbrt 🍧 reminder: Please ship “[Item]” by tomorrow, [Ship-by Date], so your borrower gets it on time. Use your QR/label: [qr_or_label_link].</t>
  </si>
  <si>
    <t xml:space="preserve">QR/label link</t>
  </si>
  <si>
    <t xml:space="preserve">Uses business-day rules for ship-by. Only sends if still unshipped.</t>
  </si>
  <si>
    <t xml:space="preserve">server/scripts/sendShippingReminders.js (tag: shipping_reminder_24h)</t>
  </si>
  <si>
    <t xml:space="preserve">3.1b - End-of-day unshipped reminder</t>
  </si>
  <si>
    <t xml:space="preserve">Ship-by date AND no carrier "accepted" scan by end of ship-by day</t>
  </si>
  <si>
    <t xml:space="preserve">Evening of [Ship-by Date] (after ~3pm PT / 6pm ET)</t>
  </si>
  <si>
    <t xml:space="preserve">Sherbrt 🍧: Heads up — “[Item]” still isn't scanned for shipment on its ship-by day. Drop it with the carrier first thing tomorrow to avoid cancellation: [qr_or_label_link].</t>
  </si>
  <si>
    <t xml:space="preserve">Final nudge before the T+2 auto-cancel window. Tag: shipping_reminder_end_of_day. Redis idempotency key: shippingReminder:{txId}:eod:sent.</t>
  </si>
  <si>
    <t xml:space="preserve">server/scripts/sendShippingReminders.js (tag: shipping_reminder_end_of_day)</t>
  </si>
  <si>
    <t xml:space="preserve">3.2 - Auto-cancel &amp; refund (unshipped)</t>
  </si>
  <si>
    <t xml:space="preserve">2 days after ship-by date AND still no outbound "accepted" scan</t>
  </si>
  <si>
    <t xml:space="preserve">T+2 days after [Ship-by Date]</t>
  </si>
  <si>
    <t xml:space="preserve">🚫 Sherbrt 🍧: Your booking for “[Item]” was canceled because it wasn’t shipped on time. A full refund has been issued to your original payment method. Browse other looks here: [browse_link].</t>
  </si>
  <si>
    <t xml:space="preserve">Implements buyer protection. Make sure backend also cancels and refunds the transaction.</t>
  </si>
  <si>
    <t xml:space="preserve">server/scripts/sendAutoCancelUnshipped.js (tag: auto_cancel_to_borrower)</t>
  </si>
  <si>
    <t xml:space="preserve">3.2 - Auto-expire notice</t>
  </si>
  <si>
    <t xml:space="preserve">Same auto-cancel event as 3.2</t>
  </si>
  <si>
    <t xml:space="preserve">When transaction is auto-canceled for non-shipment</t>
  </si>
  <si>
    <t xml:space="preserve">⚠️ Sherbrt 🍧: Your booking for “[Item]” expired because it wasn’t shipped within 2 days of the ship-by date. The borrower has been fully refunded and no payout will be issued for this booking.</t>
  </si>
  <si>
    <t xml:space="preserve">Dashboard / listings link (optional)</t>
  </si>
  <si>
    <t xml:space="preserve">Aligns with written shipping &amp; payout policy.</t>
  </si>
  <si>
    <t xml:space="preserve">server/scripts/sendAutoCancelUnshipped.js (tag: auto_cancel_to_lender)</t>
  </si>
  <si>
    <t xml:space="preserve">4 - Item shipped (outbound)</t>
  </si>
  <si>
    <t xml:space="preserve">Carrier scan status = accepted / in transit (outbound)</t>
  </si>
  <si>
    <t xml:space="preserve">Immediately once first "accepted" scan is received</t>
  </si>
  <si>
    <t xml:space="preserve">🚚 Sherbrt 🍧: “[Item]” is on its way! Tracking info: [tracking_link].</t>
  </si>
  <si>
    <t xml:space="preserve">Tracking link</t>
  </si>
  <si>
    <t xml:space="preserve">Direction must be outbound only.</t>
  </si>
  <si>
    <t xml:space="preserve">server/webhooks/shippoTracking.js (tag: item_shipped_to_borrower)</t>
  </si>
  <si>
    <t xml:space="preserve">5-SMS</t>
  </si>
  <si>
    <t xml:space="preserve">5 - Additional ship reminders (optional)</t>
  </si>
  <si>
    <t xml:space="preserve">Booking accepted &amp; unshipped (legacy long/short lead patterns)</t>
  </si>
  <si>
    <t xml:space="preserve">Per your long/short lead logic (48h, 24h, morning-of, etc.)</t>
  </si>
  <si>
    <t xml:space="preserve">⏰ Sherbrt 🍧 reminder: Please ship “[Item]” by [Ship-by Date]. Use your QR/label: [qr_or_label_link].</t>
  </si>
  <si>
    <t xml:space="preserve">Use only if you keep the more complex long/short-lead schedule; otherwise deprecate in favor of 3.1 + 3.2 logic.</t>
  </si>
  <si>
    <t xml:space="preserve">Deprecated</t>
  </si>
  <si>
    <t xml:space="preserve">Superseded by 3.1 / 3.1b / 3.2 — do not build</t>
  </si>
  <si>
    <t xml:space="preserve">6 - Item delivered to borrower</t>
  </si>
  <si>
    <t xml:space="preserve">Carrier status = delivered (outbound)</t>
  </si>
  <si>
    <t xml:space="preserve">On first delivered scan</t>
  </si>
  <si>
    <t xml:space="preserve">🎁 Your Sherbrt borrow has arrived! 🍧 Go slay &amp; tag @shoponsherbrt ✨ Need anything? bestie@sherbrt.com</t>
  </si>
  <si>
    <t xml:space="preserve">Transaction / order link (optional)</t>
  </si>
  <si>
    <t xml:space="preserve">Confirms delivery + branding CTA.</t>
  </si>
  <si>
    <t xml:space="preserve">server/webhooks/shippoTracking.js (tag: item_delivered_to_borrower)</t>
  </si>
  <si>
    <t xml:space="preserve">7 - Borrower Return Reminder  </t>
  </si>
  <si>
    <t xml:space="preserve">1 day before [Return Date] AND no return accepted scan yet</t>
  </si>
  <si>
    <t xml:space="preserve">T-1 day to [Return Date]</t>
  </si>
  <si>
    <t xml:space="preserve">📦 Sherbrt 🍧: It's almost return time\! Use your QR/label to ship "[Item]" back tomorrow: [qr_or_label_link].</t>
  </si>
  <si>
    <t xml:space="preserve">📦 Sherbrt 🍧: It's almost return time\! Use your QR/label to ship "Faille Halter Mini Dress" back tomorrow: https://www.sherbrt.com/r/M9PMIJ208f.</t>
  </si>
  <si>
    <t xml:space="preserve">Return QR/label link</t>
  </si>
  <si>
    <t xml:space="preserve">Interpolates ${itemTitle}; uses canonical lookup pd.returnQrUrl || pd.returnLabelUrl; minted via shortLink() (21-day Redis TTL). Tag: return_tminus1_to_borrower.</t>
  </si>
  <si>
    <t xml:space="preserve">server/scripts/sendReturnReminders.js (tag: return_tminus1_to_borrower)</t>
  </si>
  <si>
    <t xml:space="preserve">8 - Day-of-return reminder</t>
  </si>
  <si>
    <t xml:space="preserve">[Return Date] AND no return accepted/in-transit scan</t>
  </si>
  <si>
    <t xml:space="preserve">Morning of [Return Date]</t>
  </si>
  <si>
    <t xml:space="preserve">⏰ Sherbrt 🍧: Today's the day for you to ship back "[Item]"\! Late returns may incur $15/day fees. Use your QR/label to ship back: [qr_or_label_link].</t>
  </si>
  <si>
    <t xml:space="preserve">⏰ Sherbrt 🍧: Today's the day for you to ship back "Faille Halter Mini Dress"\! Late returns may incur $15/day fees. Use your QR/label to ship back: https://www.sherbrt.com/r/M9PMIJ208f.</t>
  </si>
  <si>
    <t xml:space="preserve">Return QR/label link; Terms link</t>
  </si>
  <si>
    <t xml:space="preserve">Fires in PT morning. Same canonical label lookup as Step 7. Tag: return_reminder_today (with_label) or return_reminder_today_no_label fallback.</t>
  </si>
  <si>
    <t xml:space="preserve">server/scripts/sendReturnReminders.js (tags: return_reminder_today / return_reminder_today_no_label)</t>
  </si>
  <si>
    <t xml:space="preserve">9 - Overdue Day 1 (SMS only, no charge)</t>
  </si>
  <si>
    <t xml:space="preserve">1 chargeable day after [Return Date] AND no return scan. Cron: daily 17:00 UTC (~10 AM PT).</t>
  </si>
  <si>
    <t xml:space="preserve">Day 1 cron run (no charge — scan-lag grace)</t>
  </si>
  <si>
    <t xml:space="preserve">⚠️ Your Sherbrt return for "[Item]" ended yesterday. $15/day late fee may apply until scanned by the carrier. Please ship today using your QR/label: [shortUrl]. For help: bestie@sherbrt.com.</t>
  </si>
  <si>
    <t xml:space="preserve">⚠️ Your Sherbrt return for "Faille Halter Mini Dress" ended yesterday. $15/day late fee may apply until scanned by the carrier. Please ship today using your QR/label: https://sherbrt.com/r/ABC123. For help: bestie@sherbrt.com.</t>
  </si>
  <si>
    <t xml:space="preserve">Return QR/label short link</t>
  </si>
  <si>
    <t xml:space="preserve">Day 1 = SMS only, no charge (scan-lag-grace rule: charge for day N-1 on day N's cron, no day 0 to charge). Quiet-hours gate: 8 AM – 11 PM PT. Uses chargeable late days (excludes Sundays + USPS holidays).</t>
  </si>
  <si>
    <t xml:space="preserve">server/scripts/sendOverdueReminders.js → server/scripts/messages/overdueMessages.js (tag: overdue_day1_to_borrower)</t>
  </si>
  <si>
    <t xml:space="preserve">9.2-SMS</t>
  </si>
  <si>
    <t xml:space="preserve">9 - Overdue Day 2 ($15 charge #1)</t>
  </si>
  <si>
    <t xml:space="preserve">2 chargeable days after [Return Date] AND no return scan. Cron: daily 17:00 UTC.</t>
  </si>
  <si>
    <t xml:space="preserve">Day 2 cron run (charges $15 for day 1)</t>
  </si>
  <si>
    <t xml:space="preserve">⚠️ Your Sherbrt return for "[Item]" is now 2 days late. $15/day late fee applies until scanned by the carrier. Please ship today using your QR/label: [shortUrl].</t>
  </si>
  <si>
    <t xml:space="preserve">⚠️ Your Sherbrt return for "Faille Halter Mini Dress" is now 2 days late. $15/day late fee applies until scanned by the carrier. Please ship today using your QR/label: https://sherbrt.com/r/ABC123.</t>
  </si>
  <si>
    <t xml:space="preserve">Charge #1 of 5 ($15). Total to date: $15. Quiet-hours gate: 8 AM – 11 PM PT.</t>
  </si>
  <si>
    <t xml:space="preserve">server/scripts/sendOverdueReminders.js → server/scripts/messages/overdueMessages.js (tag: overdue_day2_to_borrower)</t>
  </si>
  <si>
    <t xml:space="preserve">9 - Overdue Day 3 ($15 charge #2)</t>
  </si>
  <si>
    <t xml:space="preserve">3 chargeable days after [Return Date] AND no return scan. Cron: daily 17:00 UTC.</t>
  </si>
  <si>
    <t xml:space="preserve">Day 3 cron run (charges $15 for day 2)</t>
  </si>
  <si>
    <t xml:space="preserve">⚠️ Your Sherbrt return for "[Item]" is now 3 days late. $15/day late fee applies until scanned by the carrier. Please ship today using your QR/label: [shortUrl].</t>
  </si>
  <si>
    <t xml:space="preserve">⚠️ Your Sherbrt return for "Faille Halter Mini Dress" is now 3 days late. $15/day late fee applies until scanned by the carrier. Please ship today using your QR/label: https://sherbrt.com/r/ABC123.</t>
  </si>
  <si>
    <t xml:space="preserve">Charge #2 of 5 ($30 total). Quiet-hours gate: 8 AM – 11 PM PT.</t>
  </si>
  <si>
    <t xml:space="preserve">server/scripts/sendOverdueReminders.js → server/scripts/messages/overdueMessages.js (tag: overdue_day3_to_borrower)</t>
  </si>
  <si>
    <t xml:space="preserve">9 - Overdue Day 4 ($15 charge #3)</t>
  </si>
  <si>
    <t xml:space="preserve">4 chargeable days after [Return Date] AND no return scan. Cron: daily 17:00 UTC.</t>
  </si>
  <si>
    <t xml:space="preserve">Day 4 cron run (charges $15 for day 3)</t>
  </si>
  <si>
    <t xml:space="preserve">⚠️ Your Sherbrt return for "[Item]" is now 4 days late. $15/day late fee continues and you may be charged the full replacement value. Ship immediately using your QR/label: [shortUrl]. For help: bestie@sherbrt.com.</t>
  </si>
  <si>
    <t xml:space="preserve">⚠️ Your Sherbrt return for "Faille Halter Mini Dress" is now 4 days late. $15/day late fee continues and you may be charged the full replacement value. Ship immediately using your QR/label: https://sherbrt.com/r/ABC123. For help: bestie@sherbrt.com.</t>
  </si>
  <si>
    <t xml:space="preserve">Charge #3 of 5 ($45 total). Introduces replacement-value risk language. AUTO_REPLACEMENT_ENABLED = false — all replacements are manual/operator-only.</t>
  </si>
  <si>
    <t xml:space="preserve">server/scripts/sendOverdueReminders.js → server/scripts/messages/overdueMessages.js (tag: overdue_day4_to_borrower)</t>
  </si>
  <si>
    <t xml:space="preserve">9 - Overdue Day 5 ($15 charge #4)</t>
  </si>
  <si>
    <t xml:space="preserve">5 chargeable days after [Return Date] AND no return scan. Cron: daily 17:00 UTC.</t>
  </si>
  <si>
    <t xml:space="preserve">Day 5 cron run (charges $15 for day 4)</t>
  </si>
  <si>
    <t xml:space="preserve">⚠️ Your Sherbrt return for "[Item]" is now 5 days late. $15/day late fee continues. Ship immediately using your QR/label: [shortUrl] to avoid a replacement charge. For help: bestie@sherbrt.com.</t>
  </si>
  <si>
    <t xml:space="preserve">⚠️ Your Sherbrt return for "Faille Halter Mini Dress" is now 5 days late. $15/day late fee continues. Ship immediately using your QR/label: https://sherbrt.com/r/ABC123 to avoid a replacement charge. For help: bestie@sherbrt.com.</t>
  </si>
  <si>
    <t xml:space="preserve">Charge #4 of 5 ($60 total). Final warning before Day 6 investigation.</t>
  </si>
  <si>
    <t xml:space="preserve">server/scripts/sendOverdueReminders.js → server/scripts/messages/overdueMessages.js (tag: overdue_day5_to_borrower)</t>
  </si>
  <si>
    <t xml:space="preserve">9 - Overdue Day 6 ($15 charge #5, FINAL + investigation)</t>
  </si>
  <si>
    <t xml:space="preserve">6 chargeable days after [Return Date] AND no return scan. Cron: daily 17:00 UTC.</t>
  </si>
  <si>
    <t xml:space="preserve">Day 6 cron run (charges $15 for day 5 — final late fee)</t>
  </si>
  <si>
    <t xml:space="preserve">🚨 Your Sherbrt return for "[Item]" is now 6 days late. Your borrow is being investigated and the full replacement value of the item may be charged. Please ship it back ASAP using your QR code or label: [shortUrl]. For help: bestie@sherbrt.com.</t>
  </si>
  <si>
    <t xml:space="preserve">🚨 Your Sherbrt return for "Faille Halter Mini Dress" is now 6 days late. Your borrow is being investigated and the full replacement value of the item may be charged. Please ship it back ASAP using your QR code or label: https://sherbrt.com/r/ABC123. For help: bestie@sherbrt.com.</t>
  </si>
  <si>
    <t xml:space="preserve">Charge #5 of 5 ($75 total, MAX cap reached). Day 7+ = hard stop (no SMS, no charge). Triggers day-6 operator email alert (see 9.6-Email). Replacement is manual/operator-only.</t>
  </si>
  <si>
    <t xml:space="preserve">server/scripts/sendOverdueReminders.js → server/scripts/messages/overdueMessages.js (tag: overdue_day6_to_borrower)</t>
  </si>
  <si>
    <t xml:space="preserve">9 - Overdue Day 6 operator email alert</t>
  </si>
  <si>
    <t xml:space="preserve">Day-6 SMS sent successfully (smsResult not skipped)</t>
  </si>
  <si>
    <t xml:space="preserve">Immediately after Day 6 SMS fires (fire-and-forget)</t>
  </si>
  <si>
    <t xml:space="preserve">Subject: [Sherbrt] Day-6 overdue — manual replacement decision needed (tx [txId])
Day-6 SMS just fired to borrower — replacement charge commitment is now in effect.
Tx: [txId]
Listing: [listingTitle] ([listingId])
Borrower: [customerName] ([borrowerPhone])
Return due: [returnDate]
Days late: 6
Action: decide whether to trigger manual replacement charge.
Console: https://console.sharetribe.com/o/sherbrt/transactions/[txId]</t>
  </si>
  <si>
    <t xml:space="preserve">Subject: [Sherbrt] Day-6 overdue — manual replacement decision needed (tx 693c9fee)
Day-6 SMS just fired to borrower...</t>
  </si>
  <si>
    <t xml:space="preserve">Sharetribe Console tx link</t>
  </si>
  <si>
    <t xml:space="preserve">Fire-and-forget with .catch() — SendGrid failure logged but does not crash cron. DRY_RUN respected. Rides SMS Redis dedupe (no separate email key). Recipient: OPS_ALERT_EMAIL env var (defaults amalyb@gmail.com).</t>
  </si>
  <si>
    <t xml:space="preserve">server/scripts/sendOverdueReminders.js (uses server/email/emailClient.js sendTransactionalEmail)</t>
  </si>
  <si>
    <t xml:space="preserve">9 - Daily late-fee digest</t>
  </si>
  <si>
    <t xml:space="preserve">End of overdue cron run (chargeDigest.length &gt; 0)</t>
  </si>
  <si>
    <t xml:space="preserve">After all txs processed in daily cron run</t>
  </si>
  <si>
    <t xml:space="preserve">Subject: [Sherbrt] Late-fee digest [date] — $[total] ([N] charged)
Sherbrt late-fee digest for [date]
Charged: $[total] across [N] tx(s)
  tx [txId] — "[listingTitle]" ([borrowerName]) — day [N] — $[amount]
Skipped: [N]
Flag: LIVE / DISABLED</t>
  </si>
  <si>
    <t xml:space="preserve">Subject: [Sherbrt] Late-fee digest 2026-04-16 — $15.00 (1 charged)
Charged: $15.00 across 1 tx(s)...</t>
  </si>
  <si>
    <t xml:space="preserve">None</t>
  </si>
  <si>
    <t xml:space="preserve">In-cron accumulation (Model B: charged + skipped_* buckets only). Gated by \!DRY_RUN. Empty days = no email (silence is fine). Recipient: OPS_ALERT_EMAIL env var (defaults amalyb@gmail.com).</t>
  </si>
  <si>
    <t xml:space="preserve">server/scripts/sendOverdueReminders.js sendLateFeeDigest() helper (uses server/email/emailClient.js)</t>
  </si>
  <si>
    <t xml:space="preserve">10 - Item shipped (return)</t>
  </si>
  <si>
    <t xml:space="preserve">Return label status = accepted / in transit</t>
  </si>
  <si>
    <t xml:space="preserve">Immediately once carrier return scan is accepted</t>
  </si>
  <si>
    <t xml:space="preserve">📬 Sherbrt 🍧: "[Item]" is on its way back to you\! Track the return here: [tracking_link].</t>
  </si>
  <si>
    <t xml:space="preserve">📬 Sherbrt 🍧: "Faille Halter Mini Dress" is on its way back to you\! Track the return here: https://www.sherbrt.com/r/9W4qo8c4db.</t>
  </si>
  <si>
    <t xml:space="preserve">Return tracking link</t>
  </si>
  <si>
    <t xml:space="preserve">Interpolates listingTitle from shippoTracking included map. Fires on first return carrier scan (direction=return). Idempotent via protectedData.return.firstScanAt.</t>
  </si>
  <si>
    <t xml:space="preserve">server/webhooks/shippoTracking.js (tag: return_first_scan_to_lender)</t>
  </si>
  <si>
    <t xml:space="preserve">11 - Return delivered to lender</t>
  </si>
  <si>
    <t xml:space="preserve">Return label carrier status = delivered</t>
  </si>
  <si>
    <t xml:space="preserve">On first delivered scan (direction=return)</t>
  </si>
  <si>
    <t xml:space="preserve">📦 Sherbrt 🍧: "[Item]" is back home\! Thanks for sharing your style\! 🫶🏽 Just in case: bestie@sherbrt.com 💌</t>
  </si>
  <si>
    <t xml:space="preserve">📦 Sherbrt 🍧: "Faille Halter Mini Dress" is back home\! Thanks for sharing your style\! 🫶🏽 Just in case: bestie@sherbrt.com 💌</t>
  </si>
  <si>
    <t xml:space="preserve">None (confirmation only)</t>
  </si>
  <si>
    <t xml:space="preserve">NEW (April 15, 2026). Idempotent via protectedData.return.deliveredNotificationSentAt. Also writes protectedData.return.deliveredAt. Tag: SMS_TAGS.RETURN_DELIVERED_TO_LENDER. Closes the loop for lenders after return delivery.</t>
  </si>
  <si>
    <t xml:space="preserve">server/webhooks/shippoTracking.js (tag: return_delivered_to_lender)</t>
  </si>
  <si>
    <t xml:space="preserve">Legend &amp; Conventions</t>
  </si>
  <si>
    <t xml:space="preserve">SMS · Email · SMS+Email. Dropdown on the Comms Log. Color chip applied automatically.</t>
  </si>
  <si>
    <t xml:space="preserve">Lender · Borrower · Both. Dropdown. Color chip applied automatically.</t>
  </si>
  <si>
    <t xml:space="preserve">Verified · In review · Broken · Not yet live. Dropdown with color chip. Leave blank if not yet QA'd.</t>
  </si>
  <si>
    <t xml:space="preserve">Placeholders</t>
  </si>
  <si>
    <t xml:space="preserve">[Borrower First Name], [Item], [$Lender Earnings], [request_link], [qr_or_label_link], [tracking_link], [terms_link], [transaction_link], [browse_link], [support_link], [Ship-by Date], [Return Date], [Replacement Value].</t>
  </si>
  <si>
    <t xml:space="preserve">Ship-by logic</t>
  </si>
  <si>
    <t xml:space="preserve">Business-day rules apply. Sunday ship-by shifts to Saturday (carriers don't run Sundays). Borrower return banner advises Monday shipment for Sunday end-dates.</t>
  </si>
  <si>
    <t xml:space="preserve">Late fees</t>
  </si>
  <si>
    <t xml:space="preserve">$15 / day starting +24h after return date, excluding Sundays &amp; USPS holidays. Replacement charge at Day 5.</t>
  </si>
  <si>
    <t xml:space="preserve">ID convention</t>
  </si>
  <si>
    <t xml:space="preserve">Numbered by lifecycle step. Suffix -SMS or -Email indicates channel. Sub-steps use letters (e.g. 2a, 3.2, 9.3).</t>
  </si>
  <si>
    <t xml:space="preserve">Google Sheets</t>
  </si>
  <si>
    <t xml:space="preserve">Opens directly in Sheets (File → Open → Upload). Dropdowns, filters, conditional formatting, and summary formulas are all preserved on upload.</t>
  </si>
  <si>
    <t xml:space="preserve">Quiet Hours</t>
  </si>
  <si>
    <t xml:space="preserve">All SMS daemons gated by withinSendWindow(): 8 AM – 11 PM PT. Outside this window, messages are deferred to the next poll cycle (Pattern A) or next morning (Pattern B for lender request reminders). See server/util/time.js.</t>
  </si>
  <si>
    <t xml:space="preserve">Late Fee Cap</t>
  </si>
  <si>
    <t xml:space="preserve">Max 5 charges × $15 = $75 total. Count-based (chargeHistory entries with code="late-fee"), not day-based. Day 7+ = hard stop (no SMS, no charge).</t>
  </si>
  <si>
    <t xml:space="preserve">Sherbrt — Future Comms (Backlog)</t>
  </si>
  <si>
    <t xml:space="preserve">Parked messaging ideas and partially-built touchpoints. Move items to the Log tab when promoted to live. Priority: P0 = this sprint, P1 = next, P2 = nice-to-have.</t>
  </si>
  <si>
    <t xml:space="preserve">Dependencies</t>
  </si>
  <si>
    <t xml:space="preserve">Rationale / Notes</t>
  </si>
  <si>
    <t xml:space="preserve">4 - Item shipped (outbound) email</t>
  </si>
  <si>
    <t xml:space="preserve">Outbound carrier status = accepted / in_transit</t>
  </si>
  <si>
    <t xml:space="preserve">Immediately on first accepted scan</t>
  </si>
  <si>
    <t xml:space="preserve">Subject: Your Sherbrt item is on the way! 🚚
Hi [Borrower First Name],
Your "[Item]" has shipped! Track it here: [tracking_link].
Enjoy it until [Return Date] — late fees apply after that date. Terms: [terms_link].
Sherbrt 🍧</t>
  </si>
  <si>
    <t xml:space="preserve">SendGrid template</t>
  </si>
  <si>
    <t xml:space="preserve">Not started</t>
  </si>
  <si>
    <t xml:space="preserve">SMS covers the urgent notice. Email is nice-to-have for record/receipt. Check whether Sharetribe already sends a native notification before building.</t>
  </si>
  <si>
    <t xml:space="preserve">6 - Item delivered email</t>
  </si>
  <si>
    <t xml:space="preserve">Outbound carrier status = delivered</t>
  </si>
  <si>
    <t xml:space="preserve">Subject: Your Sherbrt item has arrived ✨
Hi [Borrower First Name],
Your "[Item]" has been delivered. Enjoy it until [Return Date].
On return day, use your QR/label to ship it back. Late returns may incur $15/day fees and, if not returned in good condition, a replacement charge up to the item's replacement value. See Terms: [terms_link].
Don't forget to tag @shoponsherbrt on Instagram 📸✨
Sherbrt 🍧</t>
  </si>
  <si>
    <t xml:space="preserve">Marketing-driven: Instagram CTA + terms recap. Build after P0/P1 items land.</t>
  </si>
  <si>
    <t xml:space="preserve">2b - Prepping your borrow (new)</t>
  </si>
  <si>
    <t xml:space="preserve">Lender label printed / 12h after accept with no ship scan</t>
  </si>
  <si>
    <t xml:space="preserve">T+12h from accept transition OR on label print event</t>
  </si>
  <si>
    <t xml:space="preserve">Sherbrt 🍧: “[Item]” is being prepped for you ✨ We'll text tracking the moment it ships. View details: [transaction_link].</t>
  </si>
  <si>
    <t xml:space="preserve">Twilio + label-print webhook OR cron check</t>
  </si>
  <si>
    <t xml:space="preserve">Proposed</t>
  </si>
  <si>
    <t xml:space="preserve">Closes the silence between accept (2a-SMS) and outbound shipped (4-SMS), which can be 24–48h apart. Sets expectations and reduces "did my lender forget" anxiety.</t>
  </si>
  <si>
    <t xml:space="preserve">PR-4 — Staging Dry-Run Instructions</t>
  </si>
  <si>
    <t xml:space="preserve">Verify the late-fee charging pipeline end-to-end with $0.50 test charges before flipping to $15.</t>
  </si>
  <si>
    <t xml:space="preserve">Environment Variables (Render Dashboard)</t>
  </si>
  <si>
    <t xml:space="preserve">Variable</t>
  </si>
  <si>
    <t xml:space="preserve">Value</t>
  </si>
  <si>
    <t xml:space="preserve">Purpose</t>
  </si>
  <si>
    <t xml:space="preserve">OVERDUE_FEES_CHARGING_ENABLED</t>
  </si>
  <si>
    <t xml:space="preserve">true</t>
  </si>
  <si>
    <t xml:space="preserve">Enables the Stripe transition call in applyCharges(). Default: false.</t>
  </si>
  <si>
    <t xml:space="preserve">LATE_FEE_CENTS_OVERRIDE</t>
  </si>
  <si>
    <t xml:space="preserve">50</t>
  </si>
  <si>
    <t xml:space="preserve">Overrides LATE_FEE_CENTS from 1500 ($15) to 50 ($0.50). Remove after test.</t>
  </si>
  <si>
    <t xml:space="preserve">OPS_ALERT_EMAIL</t>
  </si>
  <si>
    <t xml:space="preserve">amalyb@gmail.com</t>
  </si>
  <si>
    <t xml:space="preserve">Recipient for day-6 alert + daily digest emails. Already set if using default.</t>
  </si>
  <si>
    <t xml:space="preserve">Step-by-Step</t>
  </si>
  <si>
    <t xml:space="preserve">Step</t>
  </si>
  <si>
    <t xml:space="preserve">Action</t>
  </si>
  <si>
    <t xml:space="preserve">How to Verify</t>
  </si>
  <si>
    <t xml:space="preserve">Set env vars in Render dashboard</t>
  </si>
  <si>
    <t xml:space="preserve">Render → Environment → add/edit the 2 vars above → Save → auto-deploy triggers</t>
  </si>
  <si>
    <t xml:space="preserve">No code change needed. Deploy takes ~2-3 min.</t>
  </si>
  <si>
    <t xml:space="preserve">Create a test transaction</t>
  </si>
  <si>
    <t xml:space="preserve">Create a borrow request with a return date in the past (or use FORCE_TODAY to simulate). The tx must be in "accepted" state with no return scan.</t>
  </si>
  <si>
    <t xml:space="preserve">Tip: set return due date to yesterday so Day 1 triggers on next cron run.</t>
  </si>
  <si>
    <t xml:space="preserve">Wait for cron or trigger manually</t>
  </si>
  <si>
    <t xml:space="preserve">Run: node server/scripts/sendOverdueReminders.js --verbose
Or wait for 17:00 UTC automatic run.</t>
  </si>
  <si>
    <t xml:space="preserve">Manual run uses the same code path as the cron. Use FORCE_NOW/FORCE_TODAY for date simulation.</t>
  </si>
  <si>
    <t xml:space="preserve">Check Render logs for structured events</t>
  </si>
  <si>
    <t xml:space="preserve">Search for: "overdue.charge"
Expect: {"event":"overdue.charge","txId":"...","amounts":[{"code":"late-fee","cents":50}]}
No "overdue.charge.error" events.</t>
  </si>
  <si>
    <t xml:space="preserve">The structured JSON logs (PR-5) are filterable by event field.</t>
  </si>
  <si>
    <t xml:space="preserve">Verify in Stripe</t>
  </si>
  <si>
    <t xml:space="preserve">Find the payment intent for the test tx. Should show a $0.50 capture (not $15).</t>
  </si>
  <si>
    <t xml:space="preserve">Stripe Dashboard → Payments → search by tx ID or amount.</t>
  </si>
  <si>
    <t xml:space="preserve">Verify in Sharetribe Console</t>
  </si>
  <si>
    <t xml:space="preserve">Check tx protectedData → return.chargeHistory has new entry with amount: 50.
Check return.lastLateFeeDayCharged is set to today's date.</t>
  </si>
  <si>
    <t xml:space="preserve">Console: https://console.sharetribe.com/o/sherbrt/transactions/[txId]</t>
  </si>
  <si>
    <t xml:space="preserve">7</t>
  </si>
  <si>
    <t xml:space="preserve">Verify day-6 email (if testing day 6)</t>
  </si>
  <si>
    <t xml:space="preserve">Check amalyb@gmail.com for "[Sherbrt] Day-6 overdue" email.
Check for daily digest email after cron completes.</t>
  </si>
  <si>
    <t xml:space="preserve">Day-6 email only fires when daysLate === 6 AND SMS succeeds.</t>
  </si>
  <si>
    <t xml:space="preserve">8</t>
  </si>
  <si>
    <t xml:space="preserve">REVERT env vars in Render</t>
  </si>
  <si>
    <t xml:space="preserve">Set OVERDUE_FEES_CHARGING_ENABLED = false
Remove LATE_FEE_CENTS_OVERRIDE
Save → auto-deploy</t>
  </si>
  <si>
    <t xml:space="preserve">CRITICAL: Do not leave charging enabled at $0.50 in prod.</t>
  </si>
  <si>
    <t xml:space="preserve">⚠️</t>
  </si>
  <si>
    <t xml:space="preserve">AFTER TESTING: Proceed to PR-6</t>
  </si>
  <si>
    <t xml:space="preserve">Once verified, set OVERDUE_FEES_CHARGING_ENABLED=true and REMOVE LATE_FEE_CENTS_OVERRIDE to charge $15. This is PR-6 (the flag flip).</t>
  </si>
  <si>
    <t xml:space="preserve">Do NOT set both at once — remove the override first, then enable.</t>
  </si>
</sst>
</file>

<file path=xl/styles.xml><?xml version="1.0" encoding="utf-8"?>
<styleSheet xmlns="http://schemas.openxmlformats.org/spreadsheetml/2006/main">
  <numFmts count="1">
    <numFmt numFmtId="164" formatCode="General"/>
  </numFmts>
  <fonts count="21">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b val="true"/>
      <sz val="10"/>
      <color theme="1"/>
      <name val="Arial"/>
      <family val="0"/>
      <charset val="1"/>
    </font>
    <font>
      <sz val="10"/>
      <color theme="1"/>
      <name val="Arial"/>
      <family val="0"/>
      <charset val="1"/>
    </font>
    <font>
      <i val="true"/>
      <sz val="9"/>
      <color rgb="FF7A7A7A"/>
      <name val="Arial"/>
      <family val="0"/>
      <charset val="1"/>
    </font>
    <font>
      <b val="true"/>
      <sz val="16"/>
      <name val="Arial"/>
      <family val="0"/>
      <charset val="1"/>
    </font>
    <font>
      <i val="true"/>
      <sz val="10"/>
      <color rgb="FF555555"/>
      <name val="Arial"/>
      <family val="0"/>
      <charset val="1"/>
    </font>
    <font>
      <b val="true"/>
      <sz val="12"/>
      <color rgb="FFFFFFFF"/>
      <name val="Arial"/>
      <family val="0"/>
      <charset val="1"/>
    </font>
    <font>
      <b val="true"/>
      <sz val="10"/>
      <color rgb="FFFFFFFF"/>
      <name val="Arial"/>
      <family val="0"/>
      <charset val="1"/>
    </font>
    <font>
      <sz val="10"/>
      <name val="Arial"/>
      <family val="0"/>
      <charset val="1"/>
    </font>
    <font>
      <b val="true"/>
      <sz val="10"/>
      <name val="Arial"/>
      <family val="0"/>
      <charset val="1"/>
    </font>
    <font>
      <b val="true"/>
      <sz val="16"/>
      <color rgb="FFFFFFFF"/>
      <name val="Arial"/>
      <family val="0"/>
      <charset val="1"/>
    </font>
    <font>
      <b val="true"/>
      <sz val="11"/>
      <color theme="1"/>
      <name val="Arial"/>
      <family val="0"/>
      <charset val="1"/>
    </font>
    <font>
      <b val="true"/>
      <sz val="14"/>
      <name val="Arial"/>
      <family val="0"/>
      <charset val="1"/>
    </font>
    <font>
      <b val="true"/>
      <sz val="11"/>
      <name val="Arial"/>
      <family val="0"/>
      <charset val="1"/>
    </font>
    <font>
      <sz val="10"/>
      <name val="Consolas"/>
      <family val="0"/>
      <charset val="1"/>
    </font>
  </fonts>
  <fills count="23">
    <fill>
      <patternFill patternType="none"/>
    </fill>
    <fill>
      <patternFill patternType="gray125"/>
    </fill>
    <fill>
      <patternFill patternType="solid">
        <fgColor rgb="FF202124"/>
        <bgColor rgb="FF003300"/>
      </patternFill>
    </fill>
    <fill>
      <patternFill patternType="solid">
        <fgColor rgb="FF434343"/>
        <bgColor rgb="FF555555"/>
      </patternFill>
    </fill>
    <fill>
      <patternFill patternType="solid">
        <fgColor rgb="FFF8F4EE"/>
        <bgColor rgb="FFEDEDED"/>
      </patternFill>
    </fill>
    <fill>
      <patternFill patternType="solid">
        <fgColor rgb="FF4472C4"/>
        <bgColor rgb="FF0066CC"/>
      </patternFill>
    </fill>
    <fill>
      <patternFill patternType="solid">
        <fgColor rgb="FFC00000"/>
        <bgColor rgb="FF800000"/>
      </patternFill>
    </fill>
    <fill>
      <patternFill patternType="solid">
        <fgColor rgb="FF00B050"/>
        <bgColor rgb="FF008080"/>
      </patternFill>
    </fill>
    <fill>
      <patternFill patternType="solid">
        <fgColor rgb="FFED7D31"/>
        <bgColor rgb="FF999999"/>
      </patternFill>
    </fill>
    <fill>
      <patternFill patternType="solid">
        <fgColor rgb="FFA5A5A5"/>
        <bgColor rgb="FF999999"/>
      </patternFill>
    </fill>
    <fill>
      <patternFill patternType="solid">
        <fgColor rgb="FFDFF6DD"/>
        <bgColor rgb="FFDEF3E5"/>
      </patternFill>
    </fill>
    <fill>
      <patternFill patternType="solid">
        <fgColor rgb="FF70AD47"/>
        <bgColor rgb="FF999999"/>
      </patternFill>
    </fill>
    <fill>
      <patternFill patternType="solid">
        <fgColor rgb="FFE2EFDA"/>
        <bgColor rgb="FFE3F0E7"/>
      </patternFill>
    </fill>
    <fill>
      <patternFill patternType="solid">
        <fgColor rgb="FFFFE5E5"/>
        <bgColor rgb="FFFFE7D6"/>
      </patternFill>
    </fill>
    <fill>
      <patternFill patternType="solid">
        <fgColor rgb="FFBFBFBF"/>
        <bgColor rgb="FFCCCCCC"/>
      </patternFill>
    </fill>
    <fill>
      <patternFill patternType="solid">
        <fgColor rgb="FF7030A0"/>
        <bgColor rgb="FF800080"/>
      </patternFill>
    </fill>
    <fill>
      <patternFill patternType="solid">
        <fgColor rgb="FF00B0F0"/>
        <bgColor rgb="FF008080"/>
      </patternFill>
    </fill>
    <fill>
      <patternFill patternType="solid">
        <fgColor rgb="FFFFFFFF"/>
        <bgColor rgb="FFF8F4EE"/>
      </patternFill>
    </fill>
    <fill>
      <patternFill patternType="solid">
        <fgColor rgb="FFC6EFCE"/>
        <bgColor rgb="FFCDEBD4"/>
      </patternFill>
    </fill>
    <fill>
      <patternFill patternType="solid">
        <fgColor rgb="FFFFEB9C"/>
        <bgColor rgb="FFFFF3CC"/>
      </patternFill>
    </fill>
    <fill>
      <patternFill patternType="solid">
        <fgColor rgb="FFFFC7CE"/>
        <bgColor rgb="FFFBD5D5"/>
      </patternFill>
    </fill>
    <fill>
      <patternFill patternType="solid">
        <fgColor rgb="FF999999"/>
        <bgColor rgb="FFA5A5A5"/>
      </patternFill>
    </fill>
    <fill>
      <patternFill patternType="solid">
        <fgColor rgb="FFD9E2F3"/>
        <bgColor rgb="FFDDEBFF"/>
      </patternFill>
    </fill>
  </fills>
  <borders count="6">
    <border diagonalUp="false" diagonalDown="false">
      <left/>
      <right/>
      <top/>
      <bottom/>
      <diagonal/>
    </border>
    <border diagonalUp="false" diagonalDown="false">
      <left style="thin">
        <color rgb="FFD9D5CF"/>
      </left>
      <right style="thin">
        <color rgb="FFD9D5CF"/>
      </right>
      <top style="thin">
        <color rgb="FFD9D5CF"/>
      </top>
      <bottom style="thin">
        <color rgb="FFD9D5CF"/>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5" borderId="0" xfId="0" applyFont="true" applyBorder="true" applyAlignment="true" applyProtection="false">
      <alignment horizontal="left"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2" fillId="6" borderId="0"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2" fillId="8" borderId="0" xfId="0" applyFont="true" applyBorder="true" applyAlignment="true" applyProtection="false">
      <alignment horizontal="left" vertical="center" textRotation="0" wrapText="false" indent="0" shrinkToFit="false"/>
      <protection locked="true" hidden="false"/>
    </xf>
    <xf numFmtId="164" fontId="13" fillId="9" borderId="2"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2" fillId="11"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5" fillId="12" borderId="0" xfId="0" applyFont="true" applyBorder="false" applyAlignment="true" applyProtection="false">
      <alignment horizontal="left" vertical="center" textRotation="0" wrapText="false" indent="0" shrinkToFit="false"/>
      <protection locked="true" hidden="false"/>
    </xf>
    <xf numFmtId="164" fontId="15" fillId="13" borderId="0" xfId="0" applyFont="true" applyBorder="true" applyAlignment="true" applyProtection="false">
      <alignment horizontal="left" vertical="center" textRotation="0" wrapText="false" indent="0" shrinkToFit="false"/>
      <protection locked="true" hidden="false"/>
    </xf>
    <xf numFmtId="164" fontId="14" fillId="0" borderId="3" xfId="0" applyFont="true" applyBorder="true" applyAlignment="true" applyProtection="false">
      <alignment horizontal="left" vertical="top" textRotation="0" wrapText="tru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12" fillId="14"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5" fillId="13" borderId="0" xfId="0" applyFont="true" applyBorder="false" applyAlignment="true" applyProtection="false">
      <alignment horizontal="left" vertical="center" textRotation="0" wrapText="false" indent="0" shrinkToFit="false"/>
      <protection locked="true" hidden="false"/>
    </xf>
    <xf numFmtId="164" fontId="12" fillId="15" borderId="0" xfId="0" applyFont="true" applyBorder="false" applyAlignment="true" applyProtection="false">
      <alignment horizontal="left" vertical="center" textRotation="0" wrapText="false" indent="0" shrinkToFit="false"/>
      <protection locked="true" hidden="false"/>
    </xf>
    <xf numFmtId="164" fontId="12" fillId="8" borderId="0" xfId="0" applyFont="true" applyBorder="false" applyAlignment="true" applyProtection="false">
      <alignment horizontal="left" vertical="center" textRotation="0" wrapText="false" indent="0" shrinkToFit="false"/>
      <protection locked="true" hidden="false"/>
    </xf>
    <xf numFmtId="164" fontId="12" fillId="6" borderId="0" xfId="0" applyFont="true" applyBorder="false" applyAlignment="true" applyProtection="false">
      <alignment horizontal="left" vertical="center" textRotation="0" wrapText="false" indent="0" shrinkToFit="false"/>
      <protection locked="true" hidden="false"/>
    </xf>
    <xf numFmtId="164" fontId="12" fillId="16" borderId="0" xfId="0" applyFont="true" applyBorder="false" applyAlignment="true" applyProtection="false">
      <alignment horizontal="left"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17" borderId="1" xfId="0" applyFont="true" applyBorder="true" applyAlignment="true" applyProtection="false">
      <alignment horizontal="left" vertical="top" textRotation="0" wrapText="true" indent="0" shrinkToFit="false"/>
      <protection locked="true" hidden="false"/>
    </xf>
    <xf numFmtId="164" fontId="8" fillId="18" borderId="1" xfId="0" applyFont="true" applyBorder="true" applyAlignment="true" applyProtection="false">
      <alignment horizontal="center" vertical="center" textRotation="0" wrapText="false" indent="0" shrinkToFit="false"/>
      <protection locked="true" hidden="false"/>
    </xf>
    <xf numFmtId="164" fontId="8" fillId="17" borderId="1" xfId="0" applyFont="true" applyBorder="true" applyAlignment="true" applyProtection="false">
      <alignment horizontal="general" vertical="top" textRotation="0" wrapText="true" indent="0" shrinkToFit="false"/>
      <protection locked="true" hidden="false"/>
    </xf>
    <xf numFmtId="164" fontId="8" fillId="19"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20" borderId="1" xfId="0" applyFont="true" applyBorder="true" applyAlignment="true" applyProtection="false">
      <alignment horizontal="center" vertical="center" textRotation="0" wrapText="false" indent="0" shrinkToFit="false"/>
      <protection locked="true" hidden="false"/>
    </xf>
    <xf numFmtId="164" fontId="8" fillId="21" borderId="1" xfId="0" applyFont="true" applyBorder="true" applyAlignment="true" applyProtection="false">
      <alignment horizontal="left" vertical="top" textRotation="0" wrapText="true" indent="0" shrinkToFit="false"/>
      <protection locked="true" hidden="false"/>
    </xf>
    <xf numFmtId="164" fontId="8" fillId="21" borderId="1" xfId="0" applyFont="true" applyBorder="true" applyAlignment="true" applyProtection="false">
      <alignment horizontal="center" vertical="center" textRotation="0" wrapText="false" indent="0" shrinkToFit="false"/>
      <protection locked="true" hidden="false"/>
    </xf>
    <xf numFmtId="164" fontId="8" fillId="21" borderId="1" xfId="0" applyFont="true" applyBorder="true" applyAlignment="true" applyProtection="false">
      <alignment horizontal="general" vertical="top" textRotation="0" wrapText="true" indent="0" shrinkToFit="false"/>
      <protection locked="true" hidden="false"/>
    </xf>
    <xf numFmtId="164" fontId="0" fillId="21" borderId="0" xfId="0" applyFont="false" applyBorder="false" applyAlignment="tru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5" fillId="22" borderId="0" xfId="0" applyFont="true" applyBorder="false" applyAlignment="true" applyProtection="false">
      <alignment horizontal="center" vertical="top" textRotation="0" wrapText="false" indent="0" shrinkToFit="false"/>
      <protection locked="true" hidden="false"/>
    </xf>
    <xf numFmtId="164" fontId="14" fillId="22" borderId="0" xfId="0" applyFont="true" applyBorder="false" applyAlignment="true" applyProtection="false">
      <alignment horizontal="general" vertical="top" textRotation="0" wrapText="true" indent="0" shrinkToFit="false"/>
      <protection locked="true" hidden="false"/>
    </xf>
    <xf numFmtId="164" fontId="15" fillId="17" borderId="0" xfId="0" applyFont="true" applyBorder="false" applyAlignment="true" applyProtection="false">
      <alignment horizontal="center" vertical="top" textRotation="0" wrapText="false" indent="0" shrinkToFit="false"/>
      <protection locked="true" hidden="false"/>
    </xf>
    <xf numFmtId="164" fontId="14" fillId="17" borderId="0" xfId="0" applyFont="true" applyBorder="false" applyAlignment="true" applyProtection="false">
      <alignment horizontal="general" vertical="top" textRotation="0" wrapText="true" indent="0" shrinkToFit="false"/>
      <protection locked="true" hidden="false"/>
    </xf>
    <xf numFmtId="164" fontId="15" fillId="2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434343"/>
          <bgColor rgb="FF000000"/>
        </patternFill>
      </fill>
    </dxf>
    <dxf>
      <fill>
        <patternFill patternType="solid">
          <fgColor rgb="FF999999"/>
          <bgColor rgb="FF000000"/>
        </patternFill>
      </fill>
    </dxf>
    <dxf>
      <fill>
        <patternFill patternType="solid">
          <fgColor rgb="FFF8F4EE"/>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DEBFF"/>
          <bgColor rgb="FF000000"/>
        </patternFill>
      </fill>
    </dxf>
    <dxf>
      <fill>
        <patternFill patternType="solid">
          <fgColor rgb="FFEFE3FB"/>
          <bgColor rgb="FF000000"/>
        </patternFill>
      </fill>
    </dxf>
    <dxf>
      <fill>
        <patternFill patternType="solid">
          <fgColor rgb="FFDEF3E5"/>
          <bgColor rgb="FF000000"/>
        </patternFill>
      </fill>
    </dxf>
    <dxf>
      <fill>
        <patternFill patternType="solid">
          <fgColor rgb="FFFFE7D6"/>
          <bgColor rgb="FF000000"/>
        </patternFill>
      </fill>
    </dxf>
    <dxf>
      <fill>
        <patternFill patternType="solid">
          <fgColor rgb="FFCDEBD4"/>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DDEBFF"/>
        </patternFill>
      </fill>
    </dxf>
    <dxf>
      <fill>
        <patternFill>
          <bgColor rgb="FFEFE3FB"/>
        </patternFill>
      </fill>
    </dxf>
    <dxf>
      <fill>
        <patternFill>
          <bgColor rgb="FFE3F0E7"/>
        </patternFill>
      </fill>
    </dxf>
    <dxf>
      <fill>
        <patternFill>
          <bgColor rgb="FFDEF3E5"/>
        </patternFill>
      </fill>
    </dxf>
    <dxf>
      <fill>
        <patternFill>
          <bgColor rgb="FFFFE7D6"/>
        </patternFill>
      </fill>
    </dxf>
    <dxf>
      <fill>
        <patternFill>
          <bgColor rgb="FFEDE3FA"/>
        </patternFill>
      </fill>
    </dxf>
    <dxf>
      <fill>
        <patternFill>
          <bgColor rgb="FFCDEBD4"/>
        </patternFill>
      </fill>
    </dxf>
    <dxf>
      <fill>
        <patternFill>
          <bgColor rgb="FFFFF3CC"/>
        </patternFill>
      </fill>
    </dxf>
    <dxf>
      <fill>
        <patternFill>
          <bgColor rgb="FFFBD5D5"/>
        </patternFill>
      </fill>
    </dxf>
    <dxf>
      <fill>
        <patternFill>
          <bgColor rgb="FFEDEDED"/>
        </patternFill>
      </fill>
    </dxf>
    <dxf>
      <fill>
        <patternFill patternType="solid">
          <fgColor rgb="FFE6E6E6"/>
          <bgColor rgb="FF000000"/>
        </patternFill>
      </fill>
    </dxf>
    <dxf>
      <fill>
        <patternFill patternType="solid">
          <fgColor rgb="FFFFF3CC"/>
          <bgColor rgb="FF000000"/>
        </patternFill>
      </fill>
    </dxf>
    <dxf>
      <fill>
        <patternFill>
          <bgColor rgb="FFE6E6E6"/>
        </patternFill>
      </fill>
    </dxf>
  </dxfs>
  <colors>
    <indexedColors>
      <rgbColor rgb="FF000000"/>
      <rgbColor rgb="FFFFFFFF"/>
      <rgbColor rgb="FFC00000"/>
      <rgbColor rgb="FFEDEDED"/>
      <rgbColor rgb="FF0000FF"/>
      <rgbColor rgb="FFFFE7D6"/>
      <rgbColor rgb="FFFF00FF"/>
      <rgbColor rgb="FFDDEBFF"/>
      <rgbColor rgb="FF800000"/>
      <rgbColor rgb="FF008000"/>
      <rgbColor rgb="FF000080"/>
      <rgbColor rgb="FFEFE3FB"/>
      <rgbColor rgb="FF800080"/>
      <rgbColor rgb="FF008080"/>
      <rgbColor rgb="FFBFBFBF"/>
      <rgbColor rgb="FF7A7A7A"/>
      <rgbColor rgb="FFA5A5A5"/>
      <rgbColor rgb="FF7030A0"/>
      <rgbColor rgb="FFFFF3CC"/>
      <rgbColor rgb="FFDEF3E5"/>
      <rgbColor rgb="FF660066"/>
      <rgbColor rgb="FFE6E6E6"/>
      <rgbColor rgb="FF0066CC"/>
      <rgbColor rgb="FFCCCCCC"/>
      <rgbColor rgb="FF000080"/>
      <rgbColor rgb="FFFF00FF"/>
      <rgbColor rgb="FFE2EFDA"/>
      <rgbColor rgb="FFE3F0E7"/>
      <rgbColor rgb="FF800080"/>
      <rgbColor rgb="FF800000"/>
      <rgbColor rgb="FF008080"/>
      <rgbColor rgb="FF0000FF"/>
      <rgbColor rgb="FF00B0F0"/>
      <rgbColor rgb="FFDFF6DD"/>
      <rgbColor rgb="FFC6EFCE"/>
      <rgbColor rgb="FFFFEB9C"/>
      <rgbColor rgb="FFD9D5CF"/>
      <rgbColor rgb="FFFBD5D5"/>
      <rgbColor rgb="FFD9E2F3"/>
      <rgbColor rgb="FFFFC7CE"/>
      <rgbColor rgb="FF4472C4"/>
      <rgbColor rgb="FFCDEBD4"/>
      <rgbColor rgb="FF70AD47"/>
      <rgbColor rgb="FFFFE5E5"/>
      <rgbColor rgb="FFEDE3FA"/>
      <rgbColor rgb="FFED7D31"/>
      <rgbColor rgb="FF595959"/>
      <rgbColor rgb="FF999999"/>
      <rgbColor rgb="FF003366"/>
      <rgbColor rgb="FF00B050"/>
      <rgbColor rgb="FF003300"/>
      <rgbColor rgb="FF202124"/>
      <rgbColor rgb="FF993300"/>
      <rgbColor rgb="FFF8F4EE"/>
      <rgbColor rgb="FF55555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28"/>
    <col collapsed="false" customWidth="true" hidden="false" outlineLevel="0" max="4" min="2" style="1" width="12"/>
    <col collapsed="false" customWidth="true" hidden="false" outlineLevel="0" max="6" min="5" style="1" width="8.71"/>
  </cols>
  <sheetData>
    <row r="1" customFormat="false" ht="27.75" hidden="false" customHeight="true" outlineLevel="0" collapsed="false">
      <c r="A1" s="2" t="s">
        <v>0</v>
      </c>
      <c r="B1" s="2"/>
      <c r="C1" s="2"/>
      <c r="D1" s="2"/>
    </row>
    <row r="2" customFormat="false" ht="19.5" hidden="false" customHeight="true" outlineLevel="0" collapsed="false">
      <c r="A2" s="3" t="s">
        <v>1</v>
      </c>
      <c r="B2" s="3"/>
      <c r="C2" s="3"/>
      <c r="D2" s="3"/>
    </row>
    <row r="4" customFormat="false" ht="25.5" hidden="false" customHeight="true" outlineLevel="0" collapsed="false">
      <c r="A4" s="4" t="s">
        <v>2</v>
      </c>
      <c r="B4" s="4" t="s">
        <v>3</v>
      </c>
      <c r="C4" s="4" t="s">
        <v>4</v>
      </c>
      <c r="D4" s="4" t="s">
        <v>5</v>
      </c>
    </row>
    <row r="5" customFormat="false" ht="21.75" hidden="false" customHeight="true" outlineLevel="0" collapsed="false">
      <c r="A5" s="5" t="s">
        <v>6</v>
      </c>
      <c r="B5" s="6" t="n">
        <f aca="false">COUNTIF(Log!C5:C29,"SMS")</f>
        <v>21</v>
      </c>
      <c r="C5" s="6" t="n">
        <f aca="false">COUNTIF(Log!C5:C29,"Email")</f>
        <v>4</v>
      </c>
      <c r="D5" s="6" t="n">
        <f aca="false">COUNTA(Log!C5:C29)</f>
        <v>25</v>
      </c>
    </row>
    <row r="6" customFormat="false" ht="21.75" hidden="false" customHeight="true" outlineLevel="0" collapsed="false">
      <c r="A6" s="7" t="s">
        <v>7</v>
      </c>
      <c r="B6" s="8" t="n">
        <f aca="false">COUNTIFS(Log!C5:C29,"SMS",Log!D5:D29,"Lender")</f>
        <v>7</v>
      </c>
      <c r="C6" s="8" t="n">
        <f aca="false">COUNTIFS(Log!C5:C29,"Email",Log!D5:D29,"Lender")</f>
        <v>1</v>
      </c>
      <c r="D6" s="8" t="n">
        <f aca="false">COUNTIF(Log!D5:D29,"Lender")</f>
        <v>8</v>
      </c>
    </row>
    <row r="7" customFormat="false" ht="21.75" hidden="false" customHeight="true" outlineLevel="0" collapsed="false">
      <c r="A7" s="5" t="s">
        <v>8</v>
      </c>
      <c r="B7" s="6" t="n">
        <f aca="false">COUNTIFS(Log!C5:C29,"SMS",Log!D5:D29,"Borrower")</f>
        <v>14</v>
      </c>
      <c r="C7" s="6" t="n">
        <f aca="false">COUNTIFS(Log!C5:C29,"Email",Log!D5:D29,"Borrower")</f>
        <v>2</v>
      </c>
      <c r="D7" s="6" t="n">
        <f aca="false">COUNTIF(Log!D5:D29,"Borrower")</f>
        <v>16</v>
      </c>
    </row>
    <row r="8" customFormat="false" ht="21.75" hidden="false" customHeight="true" outlineLevel="0" collapsed="false">
      <c r="A8" s="7" t="s">
        <v>9</v>
      </c>
      <c r="B8" s="8" t="n">
        <f aca="false">COUNTIFS(Log!C5:C29,"SMS",Log!J5:J29,"Verified")</f>
        <v>15</v>
      </c>
      <c r="C8" s="8" t="n">
        <f aca="false">COUNTIFS(Log!C5:C29,"Email",Log!J5:J29,"Verified")</f>
        <v>3</v>
      </c>
      <c r="D8" s="8" t="n">
        <f aca="false">COUNTIF(Log!J5:J29,"Verified")</f>
        <v>18</v>
      </c>
    </row>
    <row r="9" customFormat="false" ht="21.75" hidden="false" customHeight="true" outlineLevel="0" collapsed="false">
      <c r="A9" s="5" t="s">
        <v>10</v>
      </c>
      <c r="B9" s="6" t="n">
        <f aca="false">COUNTIFS(Log!C5:C29,"SMS",Log!J5:J29,"")</f>
        <v>6</v>
      </c>
      <c r="C9" s="6" t="n">
        <f aca="false">COUNTIFS(Log!C5:C29,"Email",Log!J5:J29,"")</f>
        <v>1</v>
      </c>
      <c r="D9" s="6" t="n">
        <f aca="false">COUNTBLANK(Log!J5:J29)</f>
        <v>7</v>
      </c>
    </row>
    <row r="11" customFormat="false" ht="15" hidden="false" customHeight="true" outlineLevel="0" collapsed="false">
      <c r="A11" s="9" t="s">
        <v>11</v>
      </c>
      <c r="B11" s="9"/>
      <c r="C11" s="9"/>
      <c r="D11" s="9"/>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20"/>
    <col collapsed="false" customWidth="true" hidden="false" outlineLevel="0" max="4" min="4" style="1" width="22"/>
    <col collapsed="false" customWidth="true" hidden="false" outlineLevel="0" max="5" min="5" style="1" width="30"/>
    <col collapsed="false" customWidth="true" hidden="false" outlineLevel="0" max="6" min="6" style="1" width="24"/>
    <col collapsed="false" customWidth="true" hidden="false" outlineLevel="0" max="7" min="7" style="1" width="35"/>
    <col collapsed="false" customWidth="true" hidden="false" outlineLevel="0" max="8" min="8" style="1" width="14"/>
    <col collapsed="false" customWidth="true" hidden="false" outlineLevel="0" max="9" min="9" style="1" width="20"/>
  </cols>
  <sheetData>
    <row r="1" customFormat="false" ht="25.5" hidden="false" customHeight="true" outlineLevel="0" collapsed="false">
      <c r="A1" s="10" t="s">
        <v>12</v>
      </c>
      <c r="B1" s="10"/>
      <c r="C1" s="10"/>
      <c r="D1" s="10"/>
      <c r="E1" s="10"/>
      <c r="F1" s="10"/>
      <c r="G1" s="10"/>
      <c r="H1" s="10"/>
      <c r="I1" s="10"/>
    </row>
    <row r="2" customFormat="false" ht="42" hidden="false" customHeight="true" outlineLevel="0" collapsed="false">
      <c r="A2" s="11" t="s">
        <v>13</v>
      </c>
      <c r="B2" s="11"/>
      <c r="C2" s="11"/>
      <c r="D2" s="11"/>
      <c r="E2" s="11"/>
      <c r="F2" s="11"/>
      <c r="G2" s="11"/>
      <c r="H2" s="11"/>
      <c r="I2" s="11"/>
    </row>
    <row r="4" customFormat="false" ht="21.75" hidden="false" customHeight="true" outlineLevel="0" collapsed="false">
      <c r="A4" s="12" t="s">
        <v>14</v>
      </c>
      <c r="B4" s="12"/>
      <c r="C4" s="12"/>
      <c r="D4" s="12"/>
      <c r="E4" s="12"/>
      <c r="F4" s="12"/>
      <c r="G4" s="12"/>
      <c r="H4" s="12"/>
      <c r="I4" s="12"/>
    </row>
    <row r="5" customFormat="false" ht="23.25" hidden="false" customHeight="true" outlineLevel="0" collapsed="false">
      <c r="A5" s="13" t="s">
        <v>15</v>
      </c>
      <c r="B5" s="13" t="s">
        <v>16</v>
      </c>
      <c r="C5" s="13" t="s">
        <v>17</v>
      </c>
      <c r="D5" s="13" t="s">
        <v>4</v>
      </c>
      <c r="E5" s="13" t="s">
        <v>18</v>
      </c>
      <c r="F5" s="13" t="s">
        <v>19</v>
      </c>
    </row>
    <row r="6" customFormat="false" ht="27.75" hidden="false" customHeight="true" outlineLevel="0" collapsed="false">
      <c r="A6" s="14" t="s">
        <v>20</v>
      </c>
      <c r="B6" s="14" t="s">
        <v>21</v>
      </c>
      <c r="C6" s="14" t="s">
        <v>22</v>
      </c>
      <c r="D6" s="14" t="s">
        <v>23</v>
      </c>
      <c r="E6" s="14" t="s">
        <v>24</v>
      </c>
      <c r="F6" s="14" t="s">
        <v>25</v>
      </c>
      <c r="G6" s="14"/>
      <c r="H6" s="14"/>
      <c r="I6" s="14"/>
    </row>
    <row r="7" customFormat="false" ht="27.75" hidden="false" customHeight="true" outlineLevel="0" collapsed="false">
      <c r="A7" s="14" t="s">
        <v>26</v>
      </c>
      <c r="B7" s="14" t="s">
        <v>21</v>
      </c>
      <c r="C7" s="14" t="s">
        <v>27</v>
      </c>
      <c r="D7" s="14" t="s">
        <v>28</v>
      </c>
      <c r="E7" s="14" t="s">
        <v>29</v>
      </c>
      <c r="F7" s="14" t="s">
        <v>30</v>
      </c>
      <c r="G7" s="14"/>
      <c r="H7" s="14"/>
      <c r="I7" s="14"/>
    </row>
    <row r="9" customFormat="false" ht="21.75" hidden="false" customHeight="true" outlineLevel="0" collapsed="false">
      <c r="A9" s="12" t="s">
        <v>31</v>
      </c>
      <c r="B9" s="12"/>
      <c r="C9" s="12"/>
      <c r="D9" s="12"/>
      <c r="E9" s="12"/>
      <c r="F9" s="12"/>
      <c r="G9" s="12"/>
      <c r="H9" s="12"/>
      <c r="I9" s="12"/>
    </row>
    <row r="10" customFormat="false" ht="54" hidden="false" customHeight="true" outlineLevel="0" collapsed="false">
      <c r="A10" s="15" t="s">
        <v>32</v>
      </c>
      <c r="B10" s="15"/>
      <c r="C10" s="15"/>
      <c r="D10" s="15"/>
      <c r="E10" s="15"/>
      <c r="F10" s="15"/>
      <c r="G10" s="15"/>
      <c r="H10" s="15"/>
      <c r="I10" s="15"/>
    </row>
    <row r="12" customFormat="false" ht="21.75" hidden="false" customHeight="true" outlineLevel="0" collapsed="false">
      <c r="A12" s="16" t="s">
        <v>33</v>
      </c>
      <c r="B12" s="16"/>
      <c r="C12" s="16"/>
      <c r="D12" s="16"/>
      <c r="E12" s="16"/>
      <c r="F12" s="16"/>
      <c r="G12" s="16"/>
      <c r="H12" s="16"/>
      <c r="I12" s="16"/>
    </row>
    <row r="13" customFormat="false" ht="61.5" hidden="false" customHeight="true" outlineLevel="0" collapsed="false">
      <c r="A13" s="15" t="s">
        <v>34</v>
      </c>
      <c r="B13" s="15"/>
      <c r="C13" s="15"/>
      <c r="D13" s="15"/>
      <c r="E13" s="15"/>
      <c r="F13" s="15"/>
      <c r="G13" s="15"/>
      <c r="H13" s="15"/>
      <c r="I13" s="15"/>
    </row>
    <row r="14" customFormat="false" ht="30" hidden="false" customHeight="true" outlineLevel="0" collapsed="false">
      <c r="A14" s="13" t="s">
        <v>35</v>
      </c>
      <c r="B14" s="13" t="s">
        <v>36</v>
      </c>
      <c r="C14" s="13" t="s">
        <v>37</v>
      </c>
      <c r="D14" s="13" t="s">
        <v>38</v>
      </c>
      <c r="E14" s="13" t="s">
        <v>39</v>
      </c>
      <c r="F14" s="13" t="s">
        <v>40</v>
      </c>
      <c r="G14" s="13" t="s">
        <v>41</v>
      </c>
      <c r="H14" s="13" t="s">
        <v>42</v>
      </c>
      <c r="I14" s="13" t="s">
        <v>43</v>
      </c>
    </row>
    <row r="15" customFormat="false" ht="90" hidden="false" customHeight="true" outlineLevel="0" collapsed="false">
      <c r="A15" s="17" t="s">
        <v>44</v>
      </c>
      <c r="B15" s="18" t="s">
        <v>45</v>
      </c>
      <c r="C15" s="14" t="s">
        <v>46</v>
      </c>
      <c r="D15" s="19" t="s">
        <v>47</v>
      </c>
      <c r="E15" s="14" t="s">
        <v>48</v>
      </c>
      <c r="F15" s="14" t="s">
        <v>49</v>
      </c>
      <c r="G15" s="14" t="s">
        <v>50</v>
      </c>
      <c r="H15" s="20" t="s">
        <v>51</v>
      </c>
      <c r="I15" s="19"/>
    </row>
    <row r="16" customFormat="false" ht="90" hidden="false" customHeight="true" outlineLevel="0" collapsed="false">
      <c r="A16" s="17" t="s">
        <v>52</v>
      </c>
      <c r="B16" s="18" t="s">
        <v>45</v>
      </c>
      <c r="C16" s="14" t="s">
        <v>53</v>
      </c>
      <c r="D16" s="19" t="s">
        <v>54</v>
      </c>
      <c r="E16" s="14" t="s">
        <v>55</v>
      </c>
      <c r="F16" s="14" t="s">
        <v>56</v>
      </c>
      <c r="G16" s="14" t="s">
        <v>57</v>
      </c>
      <c r="H16" s="20" t="s">
        <v>58</v>
      </c>
      <c r="I16" s="19"/>
    </row>
    <row r="17" customFormat="false" ht="90" hidden="false" customHeight="true" outlineLevel="0" collapsed="false">
      <c r="A17" s="17" t="s">
        <v>59</v>
      </c>
      <c r="B17" s="18" t="s">
        <v>45</v>
      </c>
      <c r="C17" s="14" t="s">
        <v>60</v>
      </c>
      <c r="D17" s="19" t="s">
        <v>61</v>
      </c>
      <c r="E17" s="14" t="s">
        <v>62</v>
      </c>
      <c r="F17" s="14" t="s">
        <v>63</v>
      </c>
      <c r="G17" s="14" t="s">
        <v>64</v>
      </c>
      <c r="H17" s="20" t="s">
        <v>65</v>
      </c>
      <c r="I17" s="19"/>
    </row>
    <row r="18" customFormat="false" ht="90" hidden="false" customHeight="true" outlineLevel="0" collapsed="false">
      <c r="A18" s="17" t="s">
        <v>66</v>
      </c>
      <c r="B18" s="21" t="s">
        <v>67</v>
      </c>
      <c r="C18" s="14" t="s">
        <v>68</v>
      </c>
      <c r="D18" s="19" t="s">
        <v>69</v>
      </c>
      <c r="E18" s="14" t="s">
        <v>70</v>
      </c>
      <c r="F18" s="14" t="s">
        <v>71</v>
      </c>
      <c r="G18" s="14" t="s">
        <v>72</v>
      </c>
      <c r="H18" s="20" t="s">
        <v>73</v>
      </c>
      <c r="I18" s="19"/>
    </row>
    <row r="19" customFormat="false" ht="90" hidden="false" customHeight="true" outlineLevel="0" collapsed="false">
      <c r="A19" s="17" t="s">
        <v>74</v>
      </c>
      <c r="B19" s="21" t="s">
        <v>67</v>
      </c>
      <c r="C19" s="14" t="s">
        <v>68</v>
      </c>
      <c r="D19" s="19" t="s">
        <v>75</v>
      </c>
      <c r="E19" s="14" t="s">
        <v>76</v>
      </c>
      <c r="F19" s="14" t="s">
        <v>77</v>
      </c>
      <c r="G19" s="14" t="s">
        <v>78</v>
      </c>
      <c r="H19" s="20" t="s">
        <v>79</v>
      </c>
      <c r="I19" s="19"/>
    </row>
    <row r="20" customFormat="false" ht="60" hidden="false" customHeight="true" outlineLevel="0" collapsed="false">
      <c r="A20" s="17" t="s">
        <v>80</v>
      </c>
      <c r="B20" s="21" t="s">
        <v>67</v>
      </c>
      <c r="C20" s="14" t="s">
        <v>81</v>
      </c>
      <c r="D20" s="19" t="s">
        <v>82</v>
      </c>
      <c r="E20" s="14" t="s">
        <v>83</v>
      </c>
      <c r="F20" s="14" t="s">
        <v>84</v>
      </c>
      <c r="G20" s="14" t="s">
        <v>85</v>
      </c>
      <c r="H20" s="20" t="s">
        <v>86</v>
      </c>
      <c r="I20" s="19"/>
    </row>
    <row r="22" customFormat="false" ht="21.75" hidden="false" customHeight="true" outlineLevel="0" collapsed="false">
      <c r="A22" s="22"/>
      <c r="B22" s="22"/>
      <c r="C22" s="22"/>
      <c r="D22" s="22"/>
      <c r="E22" s="22"/>
      <c r="F22" s="22"/>
      <c r="G22" s="22"/>
      <c r="H22" s="22"/>
      <c r="I22" s="22"/>
    </row>
    <row r="23" customFormat="false" ht="21.75" hidden="false" customHeight="true" outlineLevel="0" collapsed="false">
      <c r="A23" s="23" t="s">
        <v>87</v>
      </c>
      <c r="B23" s="23"/>
      <c r="C23" s="23"/>
      <c r="D23" s="23"/>
      <c r="E23" s="23"/>
      <c r="F23" s="23"/>
      <c r="G23" s="23"/>
      <c r="H23" s="23"/>
      <c r="I23" s="23"/>
    </row>
    <row r="24" customFormat="false" ht="54" hidden="false" customHeight="true" outlineLevel="0" collapsed="false">
      <c r="A24" s="15" t="s">
        <v>88</v>
      </c>
      <c r="B24" s="15"/>
      <c r="C24" s="15"/>
      <c r="D24" s="15"/>
      <c r="E24" s="15"/>
      <c r="F24" s="15"/>
      <c r="G24" s="15"/>
      <c r="H24" s="15"/>
      <c r="I24" s="15"/>
    </row>
    <row r="25" customFormat="false" ht="30" hidden="false" customHeight="true" outlineLevel="0" collapsed="false">
      <c r="A25" s="13" t="s">
        <v>35</v>
      </c>
      <c r="B25" s="13" t="s">
        <v>36</v>
      </c>
      <c r="C25" s="13" t="s">
        <v>89</v>
      </c>
      <c r="D25" s="13" t="s">
        <v>90</v>
      </c>
      <c r="E25" s="13" t="s">
        <v>91</v>
      </c>
      <c r="F25" s="13" t="s">
        <v>92</v>
      </c>
      <c r="G25" s="13" t="s">
        <v>93</v>
      </c>
      <c r="H25" s="13" t="s">
        <v>94</v>
      </c>
      <c r="I25" s="13" t="s">
        <v>95</v>
      </c>
    </row>
    <row r="26" customFormat="false" ht="87.75" hidden="false" customHeight="true" outlineLevel="0" collapsed="false">
      <c r="A26" s="17" t="s">
        <v>96</v>
      </c>
      <c r="B26" s="21" t="s">
        <v>67</v>
      </c>
      <c r="C26" s="14" t="s">
        <v>97</v>
      </c>
      <c r="D26" s="14" t="s">
        <v>98</v>
      </c>
      <c r="E26" s="14" t="s">
        <v>99</v>
      </c>
      <c r="F26" s="14" t="s">
        <v>100</v>
      </c>
      <c r="G26" s="14" t="s">
        <v>101</v>
      </c>
      <c r="H26" s="20" t="s">
        <v>102</v>
      </c>
      <c r="I26" s="19" t="s">
        <v>103</v>
      </c>
    </row>
    <row r="27" customFormat="false" ht="87.75" hidden="false" customHeight="true" outlineLevel="0" collapsed="false">
      <c r="A27" s="17" t="s">
        <v>104</v>
      </c>
      <c r="B27" s="24" t="s">
        <v>105</v>
      </c>
      <c r="C27" s="14" t="s">
        <v>106</v>
      </c>
      <c r="D27" s="14" t="s">
        <v>107</v>
      </c>
      <c r="E27" s="14" t="s">
        <v>108</v>
      </c>
      <c r="F27" s="14" t="s">
        <v>109</v>
      </c>
      <c r="G27" s="14" t="s">
        <v>110</v>
      </c>
      <c r="H27" s="20" t="s">
        <v>102</v>
      </c>
      <c r="I27" s="19" t="s">
        <v>103</v>
      </c>
    </row>
    <row r="28" customFormat="false" ht="87.75" hidden="false" customHeight="true" outlineLevel="0" collapsed="false">
      <c r="A28" s="17" t="s">
        <v>111</v>
      </c>
      <c r="B28" s="21" t="s">
        <v>67</v>
      </c>
      <c r="C28" s="14" t="s">
        <v>112</v>
      </c>
      <c r="D28" s="14" t="s">
        <v>113</v>
      </c>
      <c r="E28" s="14" t="s">
        <v>114</v>
      </c>
      <c r="F28" s="14" t="s">
        <v>115</v>
      </c>
      <c r="G28" s="14" t="s">
        <v>116</v>
      </c>
      <c r="H28" s="20" t="s">
        <v>102</v>
      </c>
      <c r="I28" s="19" t="s">
        <v>103</v>
      </c>
    </row>
    <row r="29" customFormat="false" ht="87.75" hidden="false" customHeight="true" outlineLevel="0" collapsed="false">
      <c r="A29" s="17" t="s">
        <v>117</v>
      </c>
      <c r="B29" s="21" t="s">
        <v>67</v>
      </c>
      <c r="C29" s="14" t="s">
        <v>118</v>
      </c>
      <c r="D29" s="14" t="s">
        <v>98</v>
      </c>
      <c r="E29" s="14" t="s">
        <v>119</v>
      </c>
      <c r="F29" s="14" t="s">
        <v>120</v>
      </c>
      <c r="G29" s="14" t="s">
        <v>121</v>
      </c>
      <c r="H29" s="20" t="s">
        <v>102</v>
      </c>
      <c r="I29" s="19" t="s">
        <v>103</v>
      </c>
    </row>
    <row r="30" customFormat="false" ht="90.75" hidden="false" customHeight="true" outlineLevel="0" collapsed="false"/>
    <row r="31" customFormat="false" ht="15" hidden="false" customHeight="true" outlineLevel="0" collapsed="false">
      <c r="A31" s="25" t="s">
        <v>122</v>
      </c>
    </row>
    <row r="32" customFormat="false" ht="24" hidden="false" customHeight="true" outlineLevel="0" collapsed="false">
      <c r="A32" s="13" t="s">
        <v>35</v>
      </c>
      <c r="B32" s="13"/>
      <c r="C32" s="13"/>
      <c r="D32" s="13"/>
      <c r="E32" s="13"/>
      <c r="F32" s="13"/>
      <c r="G32" s="13"/>
      <c r="H32" s="13"/>
      <c r="I32" s="13"/>
    </row>
    <row r="33" customFormat="false" ht="19.5" hidden="false" customHeight="true" outlineLevel="0" collapsed="false">
      <c r="A33" s="17" t="s">
        <v>123</v>
      </c>
      <c r="B33" s="18" t="s">
        <v>124</v>
      </c>
      <c r="C33" s="18"/>
      <c r="D33" s="18"/>
      <c r="E33" s="18"/>
      <c r="F33" s="18"/>
      <c r="G33" s="18"/>
      <c r="H33" s="18"/>
      <c r="I33" s="18"/>
    </row>
    <row r="34" customFormat="false" ht="153.75" hidden="false" customHeight="true" outlineLevel="0" collapsed="false">
      <c r="A34" s="17" t="s">
        <v>125</v>
      </c>
      <c r="B34" s="18" t="s">
        <v>124</v>
      </c>
      <c r="C34" s="18"/>
      <c r="D34" s="18"/>
      <c r="E34" s="18"/>
      <c r="F34" s="18"/>
      <c r="G34" s="18"/>
      <c r="H34" s="18"/>
      <c r="I34" s="18"/>
    </row>
    <row r="35" customFormat="false" ht="19.5" hidden="false" customHeight="true" outlineLevel="0" collapsed="false">
      <c r="A35" s="17" t="s">
        <v>126</v>
      </c>
      <c r="B35" s="21" t="s">
        <v>127</v>
      </c>
      <c r="C35" s="21"/>
      <c r="D35" s="21"/>
      <c r="E35" s="21"/>
      <c r="F35" s="21"/>
      <c r="G35" s="21"/>
      <c r="H35" s="21"/>
      <c r="I35" s="21"/>
    </row>
    <row r="36" customFormat="false" ht="33.75" hidden="false" customHeight="true" outlineLevel="0" collapsed="false">
      <c r="A36" s="17" t="s">
        <v>128</v>
      </c>
      <c r="B36" s="18" t="s">
        <v>124</v>
      </c>
      <c r="C36" s="18"/>
      <c r="D36" s="18"/>
      <c r="E36" s="18"/>
      <c r="F36" s="18"/>
      <c r="G36" s="18"/>
      <c r="H36" s="18"/>
      <c r="I36" s="18"/>
    </row>
    <row r="37" customFormat="false" ht="281.25" hidden="false" customHeight="true" outlineLevel="0" collapsed="false">
      <c r="A37" s="17" t="s">
        <v>129</v>
      </c>
      <c r="B37" s="18" t="s">
        <v>124</v>
      </c>
      <c r="C37" s="26" t="s">
        <v>130</v>
      </c>
      <c r="D37" s="14" t="s">
        <v>131</v>
      </c>
      <c r="E37" s="14" t="s">
        <v>132</v>
      </c>
      <c r="F37" s="14" t="s">
        <v>133</v>
      </c>
      <c r="G37" s="14" t="s">
        <v>134</v>
      </c>
      <c r="H37" s="14" t="s">
        <v>135</v>
      </c>
      <c r="I37" s="27" t="s">
        <v>136</v>
      </c>
    </row>
    <row r="38" customFormat="false" ht="18" hidden="false" customHeight="true" outlineLevel="0" collapsed="false">
      <c r="A38" s="17" t="s">
        <v>137</v>
      </c>
      <c r="B38" s="17"/>
      <c r="C38" s="17"/>
      <c r="D38" s="17"/>
      <c r="E38" s="17"/>
      <c r="F38" s="17"/>
      <c r="G38" s="17"/>
      <c r="H38" s="17"/>
      <c r="I38" s="17"/>
    </row>
    <row r="39" customFormat="false" ht="30" hidden="false" customHeight="true" outlineLevel="0" collapsed="false"/>
    <row r="40" customFormat="false" ht="37.5" hidden="false" customHeight="true" outlineLevel="0" collapsed="false"/>
    <row r="41" customFormat="false" ht="37.5" hidden="false" customHeight="true" outlineLevel="0" collapsed="false">
      <c r="A41" s="28" t="s">
        <v>138</v>
      </c>
    </row>
    <row r="42" customFormat="false" ht="37.5" hidden="false" customHeight="true" outlineLevel="0" collapsed="false">
      <c r="A42" s="29" t="s">
        <v>139</v>
      </c>
      <c r="B42" s="30" t="s">
        <v>140</v>
      </c>
    </row>
    <row r="43" customFormat="false" ht="37.5" hidden="false" customHeight="true" outlineLevel="0" collapsed="false">
      <c r="A43" s="29" t="s">
        <v>141</v>
      </c>
      <c r="B43" s="30" t="s">
        <v>142</v>
      </c>
    </row>
    <row r="44" customFormat="false" ht="37.5" hidden="false" customHeight="true" outlineLevel="0" collapsed="false">
      <c r="A44" s="29" t="s">
        <v>143</v>
      </c>
      <c r="B44" s="30" t="s">
        <v>144</v>
      </c>
    </row>
    <row r="45" customFormat="false" ht="37.5" hidden="false" customHeight="true" outlineLevel="0" collapsed="false">
      <c r="A45" s="29" t="s">
        <v>145</v>
      </c>
      <c r="B45" s="30" t="s">
        <v>146</v>
      </c>
    </row>
    <row r="46" customFormat="false" ht="37.5" hidden="false" customHeight="true" outlineLevel="0" collapsed="false"/>
    <row r="47" customFormat="false" ht="37.5" hidden="false" customHeight="true" outlineLevel="0" collapsed="false">
      <c r="A47" s="31" t="s">
        <v>147</v>
      </c>
    </row>
    <row r="48" customFormat="false" ht="37.5" hidden="false" customHeight="true" outlineLevel="0" collapsed="false">
      <c r="A48" s="13" t="s">
        <v>35</v>
      </c>
      <c r="B48" s="13" t="s">
        <v>148</v>
      </c>
      <c r="C48" s="13" t="s">
        <v>149</v>
      </c>
      <c r="D48" s="13" t="s">
        <v>150</v>
      </c>
      <c r="E48" s="13" t="s">
        <v>151</v>
      </c>
      <c r="F48" s="13" t="s">
        <v>152</v>
      </c>
      <c r="G48" s="13" t="s">
        <v>153</v>
      </c>
      <c r="H48" s="13" t="s">
        <v>154</v>
      </c>
      <c r="I48" s="13" t="s">
        <v>155</v>
      </c>
    </row>
    <row r="49" customFormat="false" ht="37.5" hidden="false" customHeight="true" outlineLevel="0" collapsed="false">
      <c r="A49" s="14" t="n">
        <v>1</v>
      </c>
      <c r="B49" s="14" t="s">
        <v>156</v>
      </c>
      <c r="C49" s="14" t="s">
        <v>3</v>
      </c>
      <c r="D49" s="14" t="s">
        <v>26</v>
      </c>
      <c r="E49" s="14" t="s">
        <v>157</v>
      </c>
      <c r="F49" s="14" t="s">
        <v>158</v>
      </c>
      <c r="G49" s="14" t="s">
        <v>159</v>
      </c>
      <c r="H49" s="14"/>
      <c r="I49" s="14"/>
    </row>
    <row r="50" customFormat="false" ht="37.5" hidden="false" customHeight="true" outlineLevel="0" collapsed="false">
      <c r="A50" s="14" t="n">
        <v>2</v>
      </c>
      <c r="B50" s="14" t="s">
        <v>160</v>
      </c>
      <c r="C50" s="14" t="s">
        <v>4</v>
      </c>
      <c r="D50" s="14" t="s">
        <v>26</v>
      </c>
      <c r="E50" s="14" t="s">
        <v>157</v>
      </c>
      <c r="F50" s="14" t="s">
        <v>158</v>
      </c>
      <c r="G50" s="14" t="s">
        <v>161</v>
      </c>
      <c r="H50" s="14"/>
      <c r="I50" s="14"/>
    </row>
    <row r="51" customFormat="false" ht="37.5" hidden="false" customHeight="true" outlineLevel="0" collapsed="false">
      <c r="A51" s="14" t="n">
        <v>3</v>
      </c>
      <c r="B51" s="14" t="s">
        <v>162</v>
      </c>
      <c r="C51" s="14" t="s">
        <v>3</v>
      </c>
      <c r="D51" s="14" t="s">
        <v>20</v>
      </c>
      <c r="E51" s="14" t="s">
        <v>163</v>
      </c>
      <c r="F51" s="14" t="s">
        <v>164</v>
      </c>
      <c r="G51" s="14" t="s">
        <v>165</v>
      </c>
      <c r="H51" s="14"/>
      <c r="I51" s="14"/>
    </row>
    <row r="52" customFormat="false" ht="23.25" hidden="false" customHeight="true" outlineLevel="0" collapsed="false">
      <c r="A52" s="14" t="n">
        <v>4</v>
      </c>
      <c r="B52" s="14" t="s">
        <v>166</v>
      </c>
      <c r="C52" s="14" t="s">
        <v>4</v>
      </c>
      <c r="D52" s="14" t="s">
        <v>20</v>
      </c>
      <c r="E52" s="14" t="s">
        <v>163</v>
      </c>
      <c r="F52" s="14" t="s">
        <v>167</v>
      </c>
      <c r="G52" s="14" t="s">
        <v>168</v>
      </c>
      <c r="H52" s="14"/>
      <c r="I52" s="14"/>
    </row>
    <row r="53" customFormat="false" ht="18" hidden="false" customHeight="true" outlineLevel="0" collapsed="false">
      <c r="A53" s="14" t="n">
        <v>5</v>
      </c>
      <c r="B53" s="14"/>
      <c r="C53" s="14"/>
      <c r="D53" s="14"/>
      <c r="E53" s="14"/>
      <c r="F53" s="14"/>
      <c r="G53" s="14"/>
      <c r="H53" s="14"/>
      <c r="I53" s="14"/>
    </row>
    <row r="54" customFormat="false" ht="30" hidden="false" customHeight="true" outlineLevel="0" collapsed="false">
      <c r="A54" s="14" t="n">
        <v>6</v>
      </c>
      <c r="B54" s="14" t="s">
        <v>169</v>
      </c>
      <c r="C54" s="14" t="s">
        <v>3</v>
      </c>
      <c r="D54" s="14"/>
      <c r="E54" s="14"/>
      <c r="F54" s="14"/>
      <c r="G54" s="14"/>
      <c r="H54" s="14"/>
      <c r="I54" s="14"/>
    </row>
    <row r="55" customFormat="false" ht="36" hidden="false" customHeight="true" outlineLevel="0" collapsed="false">
      <c r="A55" s="14" t="n">
        <v>7</v>
      </c>
      <c r="B55" s="14" t="s">
        <v>170</v>
      </c>
      <c r="C55" s="14" t="s">
        <v>3</v>
      </c>
      <c r="D55" s="14"/>
      <c r="E55" s="14"/>
      <c r="F55" s="14"/>
      <c r="G55" s="14"/>
      <c r="H55" s="14"/>
      <c r="I55" s="14"/>
    </row>
    <row r="56" customFormat="false" ht="36" hidden="false" customHeight="true" outlineLevel="0" collapsed="false">
      <c r="A56" s="14" t="n">
        <v>8</v>
      </c>
      <c r="B56" s="14" t="s">
        <v>171</v>
      </c>
      <c r="C56" s="14" t="s">
        <v>3</v>
      </c>
      <c r="D56" s="14"/>
      <c r="E56" s="14"/>
      <c r="F56" s="14"/>
      <c r="G56" s="14"/>
      <c r="H56" s="14"/>
      <c r="I56" s="14"/>
    </row>
    <row r="57" customFormat="false" ht="36" hidden="false" customHeight="true" outlineLevel="0" collapsed="false">
      <c r="A57" s="14" t="n">
        <v>9</v>
      </c>
      <c r="B57" s="14" t="s">
        <v>172</v>
      </c>
      <c r="C57" s="14" t="s">
        <v>3</v>
      </c>
      <c r="D57" s="14"/>
      <c r="E57" s="14"/>
      <c r="F57" s="14"/>
      <c r="G57" s="14"/>
      <c r="H57" s="14"/>
      <c r="I57" s="14"/>
    </row>
    <row r="58" customFormat="false" ht="36" hidden="false" customHeight="true" outlineLevel="0" collapsed="false">
      <c r="A58" s="14" t="n">
        <v>10</v>
      </c>
      <c r="B58" s="14" t="s">
        <v>173</v>
      </c>
      <c r="C58" s="14" t="s">
        <v>3</v>
      </c>
      <c r="D58" s="14"/>
      <c r="E58" s="14"/>
      <c r="F58" s="14"/>
      <c r="G58" s="14"/>
      <c r="H58" s="14"/>
      <c r="I58" s="14"/>
    </row>
    <row r="59" customFormat="false" ht="36" hidden="false" customHeight="true" outlineLevel="0" collapsed="false">
      <c r="A59" s="14" t="n">
        <v>11</v>
      </c>
      <c r="B59" s="14" t="s">
        <v>174</v>
      </c>
      <c r="C59" s="14" t="s">
        <v>3</v>
      </c>
      <c r="D59" s="14"/>
      <c r="E59" s="14"/>
      <c r="F59" s="14"/>
      <c r="G59" s="14"/>
      <c r="H59" s="14"/>
      <c r="I59" s="14"/>
    </row>
    <row r="60" customFormat="false" ht="45.75" hidden="false" customHeight="true" outlineLevel="0" collapsed="false">
      <c r="A60" s="14" t="n">
        <v>12</v>
      </c>
      <c r="B60" s="14" t="s">
        <v>175</v>
      </c>
      <c r="C60" s="14" t="s">
        <v>3</v>
      </c>
      <c r="D60" s="14" t="s">
        <v>26</v>
      </c>
      <c r="E60" s="14" t="s">
        <v>176</v>
      </c>
      <c r="F60" s="14" t="s">
        <v>177</v>
      </c>
      <c r="G60" s="14" t="s">
        <v>178</v>
      </c>
      <c r="H60" s="14"/>
      <c r="I60" s="14"/>
    </row>
    <row r="62" customFormat="false" ht="24" hidden="false" customHeight="true" outlineLevel="0" collapsed="false">
      <c r="A62" s="32" t="s">
        <v>179</v>
      </c>
      <c r="B62" s="32"/>
      <c r="C62" s="32"/>
      <c r="D62" s="32"/>
      <c r="E62" s="32"/>
      <c r="F62" s="32"/>
      <c r="G62" s="32"/>
      <c r="H62" s="32"/>
      <c r="I62" s="32"/>
    </row>
    <row r="63" customFormat="false" ht="19.5" hidden="false" customHeight="true" outlineLevel="0" collapsed="false">
      <c r="A63" s="13" t="s">
        <v>35</v>
      </c>
      <c r="B63" s="13" t="s">
        <v>148</v>
      </c>
      <c r="C63" s="13"/>
      <c r="D63" s="13"/>
      <c r="E63" s="13"/>
      <c r="F63" s="13"/>
      <c r="G63" s="13"/>
      <c r="H63" s="13"/>
      <c r="I63" s="13"/>
    </row>
    <row r="64" customFormat="false" ht="138.75" hidden="false" customHeight="true" outlineLevel="0" collapsed="false">
      <c r="A64" s="14" t="n">
        <v>1</v>
      </c>
      <c r="B64" s="14" t="s">
        <v>180</v>
      </c>
      <c r="C64" s="14"/>
      <c r="D64" s="14"/>
      <c r="E64" s="14"/>
      <c r="F64" s="14"/>
      <c r="G64" s="14"/>
      <c r="H64" s="14"/>
      <c r="I64" s="14"/>
    </row>
    <row r="65" customFormat="false" ht="33.75" hidden="false" customHeight="true" outlineLevel="0" collapsed="false">
      <c r="A65" s="14" t="n">
        <v>2</v>
      </c>
      <c r="B65" s="14" t="s">
        <v>181</v>
      </c>
      <c r="C65" s="14"/>
      <c r="D65" s="14"/>
      <c r="E65" s="14"/>
      <c r="F65" s="14"/>
      <c r="G65" s="14"/>
      <c r="H65" s="14"/>
      <c r="I65" s="14"/>
    </row>
    <row r="66" customFormat="false" ht="63.75" hidden="false" customHeight="true" outlineLevel="0" collapsed="false">
      <c r="A66" s="14" t="n">
        <v>3</v>
      </c>
      <c r="B66" s="14" t="s">
        <v>182</v>
      </c>
      <c r="C66" s="14"/>
      <c r="D66" s="14"/>
      <c r="E66" s="14"/>
      <c r="F66" s="14"/>
      <c r="G66" s="14"/>
      <c r="H66" s="14"/>
      <c r="I66" s="14"/>
    </row>
    <row r="67" customFormat="false" ht="594.75" hidden="false" customHeight="true" outlineLevel="0" collapsed="false">
      <c r="A67" s="14" t="n">
        <v>4</v>
      </c>
      <c r="B67" s="14" t="s">
        <v>183</v>
      </c>
      <c r="C67" s="33" t="s">
        <v>184</v>
      </c>
      <c r="D67" s="34"/>
      <c r="E67" s="34"/>
      <c r="F67" s="34"/>
      <c r="G67" s="34"/>
      <c r="H67" s="35"/>
      <c r="I67" s="35"/>
    </row>
    <row r="68" customFormat="false" ht="18" hidden="false" customHeight="true" outlineLevel="0" collapsed="false">
      <c r="A68" s="14" t="n">
        <v>5</v>
      </c>
      <c r="B68" s="14"/>
      <c r="C68" s="14"/>
      <c r="D68" s="14"/>
      <c r="E68" s="14"/>
      <c r="F68" s="14"/>
      <c r="G68" s="14"/>
      <c r="H68" s="14"/>
      <c r="I68" s="14"/>
    </row>
    <row r="69" customFormat="false" ht="30" hidden="false" customHeight="true" outlineLevel="0" collapsed="false"/>
    <row r="70" customFormat="false" ht="37.5" hidden="false" customHeight="true" outlineLevel="0" collapsed="false"/>
    <row r="71" customFormat="false" ht="37.5" hidden="false" customHeight="true" outlineLevel="0" collapsed="false">
      <c r="A71" s="36" t="s">
        <v>185</v>
      </c>
    </row>
    <row r="72" customFormat="false" ht="37.5" hidden="false" customHeight="true" outlineLevel="0" collapsed="false">
      <c r="A72" s="29" t="s">
        <v>139</v>
      </c>
      <c r="B72" s="30" t="s">
        <v>186</v>
      </c>
    </row>
    <row r="73" customFormat="false" ht="37.5" hidden="false" customHeight="true" outlineLevel="0" collapsed="false">
      <c r="A73" s="29" t="s">
        <v>141</v>
      </c>
      <c r="B73" s="30" t="s">
        <v>187</v>
      </c>
    </row>
    <row r="74" customFormat="false" ht="34.5" hidden="false" customHeight="true" outlineLevel="0" collapsed="false">
      <c r="A74" s="29" t="s">
        <v>143</v>
      </c>
      <c r="B74" s="30" t="s">
        <v>188</v>
      </c>
    </row>
    <row r="75" customFormat="false" ht="18" hidden="false" customHeight="true" outlineLevel="0" collapsed="false">
      <c r="A75" s="37" t="s">
        <v>155</v>
      </c>
      <c r="B75" s="37"/>
      <c r="C75" s="37"/>
      <c r="D75" s="37"/>
      <c r="E75" s="37"/>
      <c r="F75" s="37"/>
      <c r="G75" s="37"/>
      <c r="H75" s="37"/>
      <c r="I75" s="37"/>
    </row>
    <row r="76" customFormat="false" ht="30" hidden="false" customHeight="true" outlineLevel="0" collapsed="false">
      <c r="C76" s="22"/>
      <c r="D76" s="22"/>
      <c r="E76" s="22"/>
      <c r="F76" s="22"/>
      <c r="G76" s="22"/>
    </row>
    <row r="77" customFormat="false" ht="36" hidden="false" customHeight="true" outlineLevel="0" collapsed="false">
      <c r="A77" s="31" t="s">
        <v>147</v>
      </c>
      <c r="C77" s="22"/>
      <c r="D77" s="22"/>
      <c r="E77" s="22"/>
      <c r="F77" s="22"/>
      <c r="G77" s="22"/>
    </row>
    <row r="78" customFormat="false" ht="36" hidden="false" customHeight="true" outlineLevel="0" collapsed="false">
      <c r="A78" s="13" t="s">
        <v>35</v>
      </c>
      <c r="B78" s="13" t="s">
        <v>148</v>
      </c>
      <c r="C78" s="13" t="s">
        <v>149</v>
      </c>
      <c r="D78" s="13"/>
      <c r="E78" s="13"/>
      <c r="F78" s="13"/>
      <c r="G78" s="13"/>
      <c r="H78" s="13" t="s">
        <v>154</v>
      </c>
      <c r="I78" s="13" t="s">
        <v>155</v>
      </c>
    </row>
    <row r="79" customFormat="false" ht="36" hidden="false" customHeight="true" outlineLevel="0" collapsed="false">
      <c r="A79" s="14" t="n">
        <v>1</v>
      </c>
      <c r="B79" s="14" t="s">
        <v>156</v>
      </c>
      <c r="C79" s="14" t="s">
        <v>3</v>
      </c>
      <c r="D79" s="14"/>
      <c r="E79" s="14"/>
      <c r="F79" s="14"/>
      <c r="G79" s="14"/>
      <c r="H79" s="14"/>
      <c r="I79" s="14"/>
    </row>
    <row r="80" customFormat="false" ht="36" hidden="false" customHeight="true" outlineLevel="0" collapsed="false">
      <c r="A80" s="14" t="n">
        <v>2</v>
      </c>
      <c r="B80" s="14" t="s">
        <v>160</v>
      </c>
      <c r="C80" s="14" t="s">
        <v>4</v>
      </c>
      <c r="D80" s="14"/>
      <c r="E80" s="14"/>
      <c r="F80" s="14"/>
      <c r="G80" s="14"/>
      <c r="H80" s="14"/>
      <c r="I80" s="14"/>
    </row>
    <row r="81" customFormat="false" ht="34.5" hidden="false" customHeight="true" outlineLevel="0" collapsed="false">
      <c r="A81" s="14" t="n">
        <v>3</v>
      </c>
      <c r="B81" s="14" t="s">
        <v>180</v>
      </c>
      <c r="C81" s="14" t="s">
        <v>3</v>
      </c>
      <c r="D81" s="14" t="s">
        <v>26</v>
      </c>
      <c r="E81" s="14" t="s">
        <v>189</v>
      </c>
      <c r="F81" s="14" t="s">
        <v>190</v>
      </c>
      <c r="G81" s="14" t="s">
        <v>191</v>
      </c>
      <c r="H81" s="14"/>
      <c r="I81" s="14"/>
    </row>
    <row r="82" customFormat="false" ht="34.5" hidden="false" customHeight="true" outlineLevel="0" collapsed="false">
      <c r="A82" s="14" t="n">
        <v>4</v>
      </c>
      <c r="B82" s="14" t="s">
        <v>192</v>
      </c>
      <c r="C82" s="14" t="s">
        <v>4</v>
      </c>
      <c r="D82" s="14" t="s">
        <v>20</v>
      </c>
      <c r="E82" s="14" t="s">
        <v>193</v>
      </c>
      <c r="F82" s="14" t="s">
        <v>194</v>
      </c>
      <c r="G82" s="14" t="s">
        <v>195</v>
      </c>
      <c r="H82" s="14"/>
      <c r="I82" s="14"/>
    </row>
    <row r="83" customFormat="false" ht="24" hidden="false" customHeight="true" outlineLevel="0" collapsed="false">
      <c r="A83" s="22"/>
      <c r="B83" s="22"/>
      <c r="C83" s="22"/>
      <c r="D83" s="22"/>
      <c r="E83" s="22"/>
      <c r="F83" s="22"/>
      <c r="G83" s="22"/>
      <c r="H83" s="22"/>
      <c r="I83" s="22"/>
    </row>
    <row r="84" customFormat="false" ht="33.75" hidden="false" customHeight="true" outlineLevel="0" collapsed="false">
      <c r="A84" s="38" t="s">
        <v>179</v>
      </c>
      <c r="B84" s="22"/>
      <c r="C84" s="22"/>
      <c r="D84" s="22"/>
      <c r="E84" s="22"/>
      <c r="F84" s="22"/>
      <c r="G84" s="22"/>
      <c r="H84" s="22"/>
      <c r="I84" s="22"/>
    </row>
    <row r="85" customFormat="false" ht="153.75" hidden="false" customHeight="true" outlineLevel="0" collapsed="false">
      <c r="A85" s="13" t="s">
        <v>35</v>
      </c>
      <c r="B85" s="13" t="s">
        <v>148</v>
      </c>
      <c r="C85" s="13"/>
      <c r="D85" s="13"/>
      <c r="E85" s="13"/>
      <c r="F85" s="13"/>
      <c r="G85" s="13"/>
      <c r="H85" s="13"/>
      <c r="I85" s="13"/>
    </row>
    <row r="86" customFormat="false" ht="33.75" hidden="false" customHeight="true" outlineLevel="0" collapsed="false">
      <c r="A86" s="14" t="n">
        <v>1</v>
      </c>
      <c r="B86" s="14" t="s">
        <v>196</v>
      </c>
      <c r="C86" s="14"/>
      <c r="D86" s="14"/>
      <c r="E86" s="14"/>
      <c r="F86" s="14"/>
      <c r="G86" s="14"/>
      <c r="H86" s="14"/>
      <c r="I86" s="14"/>
    </row>
    <row r="87" customFormat="false" ht="33.75" hidden="false" customHeight="true" outlineLevel="0" collapsed="false">
      <c r="A87" s="14" t="n">
        <v>2</v>
      </c>
      <c r="B87" s="14" t="s">
        <v>197</v>
      </c>
      <c r="C87" s="14"/>
      <c r="D87" s="14"/>
      <c r="E87" s="14"/>
      <c r="F87" s="14"/>
      <c r="G87" s="14"/>
      <c r="H87" s="14"/>
      <c r="I87" s="14"/>
    </row>
    <row r="88" customFormat="false" ht="314.25" hidden="false" customHeight="true" outlineLevel="0" collapsed="false">
      <c r="A88" s="14" t="n">
        <v>3</v>
      </c>
      <c r="B88" s="14" t="s">
        <v>198</v>
      </c>
      <c r="C88" s="33" t="s">
        <v>199</v>
      </c>
      <c r="D88" s="34"/>
      <c r="E88" s="34"/>
      <c r="F88" s="34"/>
      <c r="G88" s="34"/>
      <c r="H88" s="35"/>
      <c r="I88" s="35"/>
    </row>
    <row r="89" customFormat="false" ht="18" hidden="false" customHeight="true" outlineLevel="0" collapsed="false">
      <c r="A89" s="14" t="n">
        <v>4</v>
      </c>
      <c r="B89" s="14"/>
      <c r="C89" s="14"/>
      <c r="D89" s="14"/>
      <c r="E89" s="14"/>
      <c r="F89" s="14"/>
      <c r="G89" s="14"/>
      <c r="H89" s="14"/>
      <c r="I89" s="14"/>
    </row>
    <row r="90" customFormat="false" ht="30" hidden="false" customHeight="true" outlineLevel="0" collapsed="false"/>
    <row r="91" customFormat="false" ht="37.5" hidden="false" customHeight="true" outlineLevel="0" collapsed="false"/>
    <row r="92" customFormat="false" ht="37.5" hidden="false" customHeight="true" outlineLevel="0" collapsed="false">
      <c r="A92" s="39" t="s">
        <v>200</v>
      </c>
    </row>
    <row r="93" customFormat="false" ht="37.5" hidden="false" customHeight="true" outlineLevel="0" collapsed="false">
      <c r="A93" s="29" t="s">
        <v>139</v>
      </c>
      <c r="B93" s="30" t="s">
        <v>201</v>
      </c>
    </row>
    <row r="94" customFormat="false" ht="37.5" hidden="false" customHeight="true" outlineLevel="0" collapsed="false">
      <c r="A94" s="29" t="s">
        <v>141</v>
      </c>
      <c r="B94" s="30" t="s">
        <v>202</v>
      </c>
    </row>
    <row r="95" customFormat="false" ht="34.5" hidden="false" customHeight="true" outlineLevel="0" collapsed="false">
      <c r="A95" s="29" t="s">
        <v>143</v>
      </c>
      <c r="B95" s="30" t="s">
        <v>203</v>
      </c>
    </row>
    <row r="96" customFormat="false" ht="18" hidden="false" customHeight="true" outlineLevel="0" collapsed="false">
      <c r="A96" s="37" t="s">
        <v>155</v>
      </c>
      <c r="B96" s="37"/>
      <c r="C96" s="37"/>
      <c r="D96" s="37"/>
      <c r="E96" s="37"/>
      <c r="F96" s="37"/>
      <c r="G96" s="37"/>
      <c r="H96" s="37"/>
      <c r="I96" s="37"/>
    </row>
    <row r="97" customFormat="false" ht="30" hidden="false" customHeight="true" outlineLevel="0" collapsed="false">
      <c r="C97" s="22"/>
      <c r="D97" s="22"/>
      <c r="E97" s="22"/>
      <c r="F97" s="22"/>
      <c r="G97" s="22"/>
    </row>
    <row r="98" customFormat="false" ht="36" hidden="false" customHeight="true" outlineLevel="0" collapsed="false">
      <c r="A98" s="31" t="s">
        <v>147</v>
      </c>
      <c r="C98" s="22"/>
      <c r="D98" s="22"/>
      <c r="E98" s="22"/>
      <c r="F98" s="22"/>
      <c r="G98" s="22"/>
    </row>
    <row r="99" customFormat="false" ht="36" hidden="false" customHeight="true" outlineLevel="0" collapsed="false">
      <c r="A99" s="13" t="s">
        <v>35</v>
      </c>
      <c r="B99" s="13" t="s">
        <v>148</v>
      </c>
      <c r="C99" s="13" t="s">
        <v>149</v>
      </c>
      <c r="D99" s="13"/>
      <c r="E99" s="13"/>
      <c r="F99" s="13"/>
      <c r="G99" s="13"/>
      <c r="H99" s="13" t="s">
        <v>154</v>
      </c>
      <c r="I99" s="13" t="s">
        <v>155</v>
      </c>
    </row>
    <row r="100" customFormat="false" ht="36" hidden="false" customHeight="true" outlineLevel="0" collapsed="false">
      <c r="A100" s="14" t="n">
        <v>1</v>
      </c>
      <c r="B100" s="14" t="s">
        <v>156</v>
      </c>
      <c r="C100" s="14" t="s">
        <v>3</v>
      </c>
      <c r="D100" s="14"/>
      <c r="E100" s="14"/>
      <c r="F100" s="14"/>
      <c r="G100" s="14"/>
      <c r="H100" s="14"/>
      <c r="I100" s="14"/>
    </row>
    <row r="101" customFormat="false" ht="36" hidden="false" customHeight="true" outlineLevel="0" collapsed="false">
      <c r="A101" s="14" t="n">
        <v>2</v>
      </c>
      <c r="B101" s="14" t="s">
        <v>160</v>
      </c>
      <c r="C101" s="14" t="s">
        <v>4</v>
      </c>
      <c r="D101" s="14"/>
      <c r="E101" s="14"/>
      <c r="F101" s="14"/>
      <c r="G101" s="14"/>
      <c r="H101" s="14"/>
      <c r="I101" s="14"/>
    </row>
    <row r="102" customFormat="false" ht="36" hidden="false" customHeight="true" outlineLevel="0" collapsed="false">
      <c r="A102" s="14" t="n">
        <v>3</v>
      </c>
      <c r="B102" s="14" t="s">
        <v>204</v>
      </c>
      <c r="C102" s="14" t="s">
        <v>3</v>
      </c>
      <c r="D102" s="14"/>
      <c r="E102" s="14"/>
      <c r="F102" s="14"/>
      <c r="G102" s="14"/>
      <c r="H102" s="14"/>
      <c r="I102" s="14"/>
    </row>
    <row r="103" customFormat="false" ht="23.25" hidden="false" customHeight="true" outlineLevel="0" collapsed="false">
      <c r="A103" s="14" t="n">
        <v>4</v>
      </c>
      <c r="B103" s="14" t="s">
        <v>205</v>
      </c>
      <c r="C103" s="14" t="s">
        <v>4</v>
      </c>
      <c r="D103" s="14" t="s">
        <v>20</v>
      </c>
      <c r="E103" s="14" t="s">
        <v>206</v>
      </c>
      <c r="F103" s="14" t="s">
        <v>207</v>
      </c>
      <c r="G103" s="14" t="s">
        <v>208</v>
      </c>
      <c r="H103" s="14"/>
      <c r="I103" s="14"/>
    </row>
    <row r="105" customFormat="false" ht="24" hidden="false" customHeight="true" outlineLevel="0" collapsed="false">
      <c r="A105" s="32" t="s">
        <v>179</v>
      </c>
      <c r="B105" s="32"/>
      <c r="C105" s="32"/>
      <c r="D105" s="32"/>
      <c r="E105" s="32"/>
      <c r="F105" s="32"/>
      <c r="G105" s="32"/>
      <c r="H105" s="32"/>
      <c r="I105" s="32"/>
    </row>
    <row r="106" customFormat="false" ht="33.75" hidden="false" customHeight="true" outlineLevel="0" collapsed="false">
      <c r="A106" s="13" t="s">
        <v>35</v>
      </c>
      <c r="B106" s="13" t="s">
        <v>148</v>
      </c>
      <c r="C106" s="13"/>
      <c r="D106" s="13"/>
      <c r="E106" s="13"/>
      <c r="F106" s="13"/>
      <c r="G106" s="13"/>
      <c r="H106" s="13"/>
      <c r="I106" s="13"/>
    </row>
    <row r="107" customFormat="false" ht="273.75" hidden="false" customHeight="true" outlineLevel="0" collapsed="false">
      <c r="A107" s="14" t="n">
        <v>1</v>
      </c>
      <c r="B107" s="14" t="s">
        <v>180</v>
      </c>
      <c r="C107" s="14"/>
      <c r="D107" s="14"/>
      <c r="E107" s="14"/>
      <c r="F107" s="14"/>
      <c r="G107" s="14"/>
      <c r="H107" s="14"/>
      <c r="I107" s="14"/>
    </row>
    <row r="108" customFormat="false" ht="48.75" hidden="false" customHeight="true" outlineLevel="0" collapsed="false">
      <c r="A108" s="14" t="n">
        <v>2</v>
      </c>
      <c r="B108" s="14" t="s">
        <v>209</v>
      </c>
      <c r="C108" s="14"/>
      <c r="D108" s="14"/>
      <c r="E108" s="14"/>
      <c r="F108" s="14"/>
      <c r="G108" s="14"/>
      <c r="H108" s="14"/>
      <c r="I108" s="14"/>
    </row>
    <row r="109" customFormat="false" ht="63.75" hidden="false" customHeight="true" outlineLevel="0" collapsed="false">
      <c r="A109" s="14" t="n">
        <v>3</v>
      </c>
      <c r="B109" s="14" t="s">
        <v>197</v>
      </c>
      <c r="C109" s="14"/>
      <c r="D109" s="14"/>
      <c r="E109" s="14"/>
      <c r="F109" s="14"/>
      <c r="G109" s="14"/>
      <c r="H109" s="14"/>
      <c r="I109" s="14"/>
    </row>
    <row r="110" customFormat="false" ht="639" hidden="false" customHeight="true" outlineLevel="0" collapsed="false">
      <c r="A110" s="14" t="n">
        <v>4</v>
      </c>
      <c r="B110" s="14" t="s">
        <v>198</v>
      </c>
      <c r="C110" s="33" t="s">
        <v>210</v>
      </c>
      <c r="D110" s="34"/>
      <c r="E110" s="34"/>
      <c r="F110" s="34"/>
      <c r="G110" s="34"/>
      <c r="H110" s="35"/>
      <c r="I110" s="35"/>
    </row>
    <row r="111" customFormat="false" ht="18" hidden="false" customHeight="true" outlineLevel="0" collapsed="false">
      <c r="A111" s="14" t="n">
        <v>5</v>
      </c>
      <c r="B111" s="14"/>
      <c r="C111" s="14"/>
      <c r="D111" s="14"/>
      <c r="E111" s="14"/>
      <c r="F111" s="14"/>
      <c r="G111" s="14"/>
      <c r="H111" s="14"/>
      <c r="I111" s="14"/>
    </row>
    <row r="112" customFormat="false" ht="30" hidden="false" customHeight="true" outlineLevel="0" collapsed="false"/>
    <row r="113" customFormat="false" ht="37.5" hidden="false" customHeight="true" outlineLevel="0" collapsed="false"/>
    <row r="114" customFormat="false" ht="37.5" hidden="false" customHeight="true" outlineLevel="0" collapsed="false">
      <c r="A114" s="40" t="s">
        <v>211</v>
      </c>
    </row>
    <row r="115" customFormat="false" ht="37.5" hidden="false" customHeight="true" outlineLevel="0" collapsed="false">
      <c r="A115" s="29" t="s">
        <v>139</v>
      </c>
      <c r="B115" s="30" t="s">
        <v>212</v>
      </c>
    </row>
    <row r="116" customFormat="false" ht="37.5" hidden="false" customHeight="true" outlineLevel="0" collapsed="false">
      <c r="A116" s="29" t="s">
        <v>141</v>
      </c>
      <c r="B116" s="30" t="s">
        <v>213</v>
      </c>
    </row>
    <row r="117" customFormat="false" ht="37.5" hidden="false" customHeight="true" outlineLevel="0" collapsed="false">
      <c r="A117" s="29" t="s">
        <v>143</v>
      </c>
      <c r="B117" s="30" t="s">
        <v>214</v>
      </c>
    </row>
    <row r="118" customFormat="false" ht="37.5" hidden="false" customHeight="true" outlineLevel="0" collapsed="false">
      <c r="A118" s="29" t="s">
        <v>155</v>
      </c>
      <c r="B118" s="30" t="s">
        <v>215</v>
      </c>
    </row>
    <row r="119" customFormat="false" ht="37.5" hidden="false" customHeight="true" outlineLevel="0" collapsed="false"/>
    <row r="120" customFormat="false" ht="37.5" hidden="false" customHeight="true" outlineLevel="0" collapsed="false">
      <c r="A120" s="31" t="s">
        <v>147</v>
      </c>
    </row>
    <row r="121" customFormat="false" ht="37.5" hidden="false" customHeight="true" outlineLevel="0" collapsed="false">
      <c r="A121" s="13" t="s">
        <v>35</v>
      </c>
      <c r="B121" s="13" t="s">
        <v>148</v>
      </c>
      <c r="C121" s="13" t="s">
        <v>149</v>
      </c>
      <c r="D121" s="13" t="s">
        <v>150</v>
      </c>
      <c r="E121" s="13" t="s">
        <v>151</v>
      </c>
      <c r="F121" s="13" t="s">
        <v>152</v>
      </c>
      <c r="G121" s="13" t="s">
        <v>153</v>
      </c>
      <c r="H121" s="13" t="s">
        <v>154</v>
      </c>
      <c r="I121" s="13" t="s">
        <v>155</v>
      </c>
    </row>
    <row r="122" customFormat="false" ht="34.5" hidden="false" customHeight="true" outlineLevel="0" collapsed="false">
      <c r="A122" s="14" t="n">
        <v>1</v>
      </c>
      <c r="B122" s="14" t="s">
        <v>156</v>
      </c>
      <c r="C122" s="14" t="s">
        <v>3</v>
      </c>
      <c r="D122" s="14" t="s">
        <v>26</v>
      </c>
      <c r="E122" s="14" t="s">
        <v>157</v>
      </c>
      <c r="F122" s="14" t="s">
        <v>216</v>
      </c>
      <c r="G122" s="14" t="s">
        <v>217</v>
      </c>
      <c r="H122" s="14"/>
      <c r="I122" s="14"/>
    </row>
    <row r="123" customFormat="false" ht="18" hidden="false" customHeight="true" outlineLevel="0" collapsed="false">
      <c r="A123" s="14" t="n">
        <v>2</v>
      </c>
      <c r="B123" s="14"/>
      <c r="C123" s="14"/>
      <c r="D123" s="14"/>
      <c r="E123" s="14"/>
      <c r="F123" s="14"/>
      <c r="G123" s="14"/>
      <c r="H123" s="14"/>
      <c r="I123" s="14"/>
    </row>
    <row r="124" customFormat="false" ht="30" hidden="false" customHeight="true" outlineLevel="0" collapsed="false">
      <c r="A124" s="14" t="n">
        <v>3</v>
      </c>
      <c r="B124" s="14" t="s">
        <v>162</v>
      </c>
      <c r="C124" s="14" t="s">
        <v>3</v>
      </c>
      <c r="D124" s="14"/>
      <c r="E124" s="14"/>
      <c r="F124" s="14"/>
      <c r="G124" s="14"/>
      <c r="H124" s="14"/>
      <c r="I124" s="14"/>
    </row>
    <row r="125" customFormat="false" ht="36" hidden="false" customHeight="true" outlineLevel="0" collapsed="false">
      <c r="A125" s="14" t="n">
        <v>4</v>
      </c>
      <c r="B125" s="14" t="s">
        <v>166</v>
      </c>
      <c r="C125" s="14" t="s">
        <v>4</v>
      </c>
      <c r="D125" s="14"/>
      <c r="E125" s="14"/>
      <c r="F125" s="14"/>
      <c r="G125" s="14"/>
      <c r="H125" s="14"/>
      <c r="I125" s="14"/>
    </row>
    <row r="126" customFormat="false" ht="36" hidden="false" customHeight="true" outlineLevel="0" collapsed="false">
      <c r="A126" s="14" t="n">
        <v>5</v>
      </c>
      <c r="B126" s="14" t="s">
        <v>218</v>
      </c>
      <c r="C126" s="14" t="s">
        <v>3</v>
      </c>
      <c r="D126" s="14"/>
      <c r="E126" s="14"/>
      <c r="F126" s="14"/>
      <c r="G126" s="14"/>
      <c r="H126" s="14"/>
      <c r="I126" s="14"/>
    </row>
    <row r="127" customFormat="false" ht="36" hidden="false" customHeight="true" outlineLevel="0" collapsed="false">
      <c r="A127" s="14" t="n">
        <v>6</v>
      </c>
      <c r="B127" s="14" t="s">
        <v>219</v>
      </c>
      <c r="C127" s="14" t="s">
        <v>3</v>
      </c>
      <c r="D127" s="14"/>
      <c r="E127" s="14"/>
      <c r="F127" s="14"/>
      <c r="G127" s="14"/>
      <c r="H127" s="14"/>
      <c r="I127" s="14"/>
    </row>
    <row r="128" customFormat="false" ht="36" hidden="false" customHeight="true" outlineLevel="0" collapsed="false">
      <c r="A128" s="14" t="n">
        <v>7</v>
      </c>
      <c r="B128" s="14" t="s">
        <v>220</v>
      </c>
      <c r="C128" s="14" t="s">
        <v>3</v>
      </c>
      <c r="D128" s="14"/>
      <c r="E128" s="14"/>
      <c r="F128" s="14"/>
      <c r="G128" s="14"/>
      <c r="H128" s="14"/>
      <c r="I128" s="14"/>
    </row>
    <row r="129" customFormat="false" ht="36" hidden="false" customHeight="true" outlineLevel="0" collapsed="false">
      <c r="A129" s="14" t="n">
        <v>8</v>
      </c>
      <c r="B129" s="14" t="s">
        <v>221</v>
      </c>
      <c r="C129" s="14" t="s">
        <v>3</v>
      </c>
      <c r="D129" s="14"/>
      <c r="E129" s="14"/>
      <c r="F129" s="14"/>
      <c r="G129" s="14"/>
      <c r="H129" s="14"/>
      <c r="I129" s="14"/>
    </row>
    <row r="130" customFormat="false" ht="45.75" hidden="false" customHeight="true" outlineLevel="0" collapsed="false">
      <c r="A130" s="14" t="n">
        <v>9</v>
      </c>
      <c r="B130" s="14" t="s">
        <v>222</v>
      </c>
      <c r="C130" s="14" t="s">
        <v>3</v>
      </c>
      <c r="D130" s="14" t="s">
        <v>26</v>
      </c>
      <c r="E130" s="14" t="s">
        <v>223</v>
      </c>
      <c r="F130" s="14" t="s">
        <v>224</v>
      </c>
      <c r="G130" s="14" t="s">
        <v>225</v>
      </c>
      <c r="H130" s="14"/>
      <c r="I130" s="14"/>
    </row>
    <row r="132" customFormat="false" ht="24" hidden="false" customHeight="true" outlineLevel="0" collapsed="false">
      <c r="A132" s="32" t="s">
        <v>179</v>
      </c>
      <c r="B132" s="32"/>
      <c r="C132" s="32"/>
      <c r="D132" s="32"/>
      <c r="E132" s="32"/>
      <c r="F132" s="32"/>
      <c r="G132" s="32"/>
      <c r="H132" s="32"/>
      <c r="I132" s="32"/>
    </row>
    <row r="133" customFormat="false" ht="48.75" hidden="false" customHeight="true" outlineLevel="0" collapsed="false">
      <c r="A133" s="13" t="s">
        <v>35</v>
      </c>
      <c r="B133" s="13" t="s">
        <v>148</v>
      </c>
      <c r="C133" s="13"/>
      <c r="D133" s="13"/>
      <c r="E133" s="13"/>
      <c r="F133" s="13"/>
      <c r="G133" s="13"/>
      <c r="H133" s="13"/>
      <c r="I133" s="13"/>
    </row>
    <row r="134" customFormat="false" ht="303.75" hidden="false" customHeight="true" outlineLevel="0" collapsed="false">
      <c r="A134" s="14" t="n">
        <v>1</v>
      </c>
      <c r="B134" s="14" t="s">
        <v>180</v>
      </c>
      <c r="C134" s="14"/>
      <c r="D134" s="14"/>
      <c r="E134" s="14"/>
      <c r="F134" s="14"/>
      <c r="G134" s="14"/>
      <c r="H134" s="14"/>
      <c r="I134" s="14"/>
    </row>
    <row r="135" customFormat="false" ht="63.75" hidden="false" customHeight="true" outlineLevel="0" collapsed="false">
      <c r="A135" s="14" t="n">
        <v>2</v>
      </c>
      <c r="B135" s="14" t="s">
        <v>181</v>
      </c>
      <c r="C135" s="14"/>
      <c r="D135" s="14"/>
      <c r="E135" s="14"/>
      <c r="F135" s="14"/>
      <c r="G135" s="14"/>
      <c r="H135" s="14"/>
      <c r="I135" s="14"/>
    </row>
    <row r="136" customFormat="false" ht="48.75" hidden="false" customHeight="true" outlineLevel="0" collapsed="false">
      <c r="A136" s="14" t="n">
        <v>3</v>
      </c>
      <c r="B136" s="14" t="s">
        <v>226</v>
      </c>
      <c r="C136" s="14"/>
      <c r="D136" s="14"/>
      <c r="E136" s="14"/>
      <c r="F136" s="14"/>
      <c r="G136" s="14"/>
      <c r="H136" s="14"/>
      <c r="I136" s="14"/>
    </row>
    <row r="137" customFormat="false" ht="438" hidden="false" customHeight="true" outlineLevel="0" collapsed="false">
      <c r="A137" s="14" t="n">
        <v>4</v>
      </c>
      <c r="B137" s="14" t="s">
        <v>227</v>
      </c>
      <c r="C137" s="33" t="s">
        <v>228</v>
      </c>
      <c r="D137" s="34"/>
      <c r="E137" s="34"/>
      <c r="F137" s="34"/>
      <c r="G137" s="34"/>
      <c r="H137" s="35"/>
      <c r="I137" s="35"/>
    </row>
    <row r="138" customFormat="false" ht="18" hidden="false" customHeight="true" outlineLevel="0" collapsed="false">
      <c r="A138" s="14" t="n">
        <v>5</v>
      </c>
      <c r="B138" s="14"/>
      <c r="C138" s="14"/>
      <c r="D138" s="14"/>
      <c r="E138" s="14"/>
      <c r="F138" s="14"/>
      <c r="G138" s="14"/>
      <c r="H138" s="14"/>
      <c r="I138" s="14"/>
    </row>
    <row r="139" customFormat="false" ht="30" hidden="false" customHeight="true" outlineLevel="0" collapsed="false"/>
    <row r="140" customFormat="false" ht="48" hidden="false" customHeight="true" outlineLevel="0" collapsed="false"/>
    <row r="141" customFormat="false" ht="48" hidden="false" customHeight="true" outlineLevel="0" collapsed="false">
      <c r="A141" s="41" t="s">
        <v>229</v>
      </c>
    </row>
    <row r="142" customFormat="false" ht="48" hidden="false" customHeight="true" outlineLevel="0" collapsed="false">
      <c r="A142" s="29" t="s">
        <v>139</v>
      </c>
      <c r="B142" s="30" t="s">
        <v>230</v>
      </c>
    </row>
    <row r="143" customFormat="false" ht="48" hidden="false" customHeight="true" outlineLevel="0" collapsed="false">
      <c r="A143" s="29" t="s">
        <v>141</v>
      </c>
      <c r="B143" s="30" t="s">
        <v>231</v>
      </c>
    </row>
    <row r="144" customFormat="false" ht="48" hidden="false" customHeight="true" outlineLevel="0" collapsed="false">
      <c r="A144" s="29" t="s">
        <v>143</v>
      </c>
      <c r="B144" s="30" t="s">
        <v>232</v>
      </c>
    </row>
    <row r="145" customFormat="false" ht="48" hidden="false" customHeight="true" outlineLevel="0" collapsed="false">
      <c r="A145" s="29" t="s">
        <v>155</v>
      </c>
      <c r="B145" s="30" t="s">
        <v>233</v>
      </c>
    </row>
    <row r="146" customFormat="false" ht="48" hidden="false" customHeight="true" outlineLevel="0" collapsed="false"/>
    <row r="147" customFormat="false" ht="48" hidden="false" customHeight="true" outlineLevel="0" collapsed="false">
      <c r="A147" s="31" t="s">
        <v>147</v>
      </c>
    </row>
    <row r="148" customFormat="false" ht="48" hidden="false" customHeight="true" outlineLevel="0" collapsed="false">
      <c r="A148" s="13" t="s">
        <v>35</v>
      </c>
      <c r="B148" s="13" t="s">
        <v>148</v>
      </c>
      <c r="C148" s="13" t="s">
        <v>149</v>
      </c>
      <c r="D148" s="13" t="s">
        <v>150</v>
      </c>
      <c r="E148" s="13" t="s">
        <v>151</v>
      </c>
      <c r="F148" s="13" t="s">
        <v>152</v>
      </c>
      <c r="G148" s="13" t="s">
        <v>153</v>
      </c>
      <c r="H148" s="13" t="s">
        <v>154</v>
      </c>
      <c r="I148" s="13" t="s">
        <v>155</v>
      </c>
    </row>
    <row r="149" customFormat="false" ht="48" hidden="false" customHeight="true" outlineLevel="0" collapsed="false">
      <c r="A149" s="14" t="n">
        <v>1</v>
      </c>
      <c r="B149" s="14" t="s">
        <v>234</v>
      </c>
      <c r="C149" s="14" t="s">
        <v>235</v>
      </c>
      <c r="D149" s="14" t="s">
        <v>235</v>
      </c>
      <c r="E149" s="14" t="s">
        <v>236</v>
      </c>
      <c r="F149" s="14" t="s">
        <v>237</v>
      </c>
      <c r="G149" s="14" t="s">
        <v>238</v>
      </c>
      <c r="H149" s="14"/>
      <c r="I149" s="14"/>
    </row>
    <row r="150" customFormat="false" ht="48" hidden="false" customHeight="true" outlineLevel="0" collapsed="false">
      <c r="A150" s="14" t="n">
        <v>2</v>
      </c>
      <c r="B150" s="14" t="s">
        <v>239</v>
      </c>
      <c r="C150" s="14" t="s">
        <v>3</v>
      </c>
      <c r="D150" s="14" t="s">
        <v>20</v>
      </c>
      <c r="E150" s="14" t="s">
        <v>240</v>
      </c>
      <c r="F150" s="14" t="s">
        <v>241</v>
      </c>
      <c r="G150" s="14" t="s">
        <v>242</v>
      </c>
      <c r="H150" s="14"/>
      <c r="I150" s="14"/>
    </row>
    <row r="151" customFormat="false" ht="34.5" hidden="false" customHeight="true" outlineLevel="0" collapsed="false">
      <c r="A151" s="14" t="n">
        <v>3</v>
      </c>
      <c r="B151" s="14" t="s">
        <v>243</v>
      </c>
      <c r="C151" s="14" t="s">
        <v>4</v>
      </c>
      <c r="D151" s="14" t="s">
        <v>244</v>
      </c>
      <c r="E151" s="14" t="s">
        <v>245</v>
      </c>
      <c r="F151" s="14" t="s">
        <v>246</v>
      </c>
      <c r="G151" s="14" t="s">
        <v>247</v>
      </c>
      <c r="H151" s="14"/>
      <c r="I151" s="14"/>
    </row>
    <row r="152" customFormat="false" ht="18" hidden="false" customHeight="true" outlineLevel="0" collapsed="false">
      <c r="A152" s="14" t="n">
        <v>4</v>
      </c>
      <c r="B152" s="14"/>
      <c r="C152" s="14"/>
      <c r="D152" s="14"/>
      <c r="E152" s="14"/>
      <c r="F152" s="14"/>
      <c r="G152" s="14"/>
      <c r="H152" s="14"/>
      <c r="I152" s="14"/>
    </row>
    <row r="153" customFormat="false" ht="30" hidden="false" customHeight="true" outlineLevel="0" collapsed="false">
      <c r="A153" s="14" t="n">
        <v>5</v>
      </c>
      <c r="B153" s="14" t="s">
        <v>248</v>
      </c>
      <c r="C153" s="14" t="s">
        <v>3</v>
      </c>
      <c r="D153" s="14"/>
      <c r="E153" s="14"/>
      <c r="F153" s="14"/>
      <c r="G153" s="14"/>
      <c r="H153" s="14"/>
      <c r="I153" s="14"/>
    </row>
    <row r="154" customFormat="false" ht="36" hidden="false" customHeight="true" outlineLevel="0" collapsed="false">
      <c r="A154" s="14" t="n">
        <v>6</v>
      </c>
      <c r="B154" s="14" t="s">
        <v>249</v>
      </c>
      <c r="C154" s="14" t="s">
        <v>3</v>
      </c>
      <c r="D154" s="14"/>
      <c r="E154" s="14"/>
      <c r="F154" s="14"/>
      <c r="G154" s="14"/>
      <c r="H154" s="14"/>
      <c r="I154" s="14"/>
    </row>
    <row r="155" customFormat="false" ht="36" hidden="false" customHeight="true" outlineLevel="0" collapsed="false">
      <c r="A155" s="14" t="n">
        <v>7</v>
      </c>
      <c r="B155" s="14" t="s">
        <v>250</v>
      </c>
      <c r="C155" s="14" t="s">
        <v>3</v>
      </c>
      <c r="D155" s="14"/>
      <c r="E155" s="14"/>
      <c r="F155" s="14"/>
      <c r="G155" s="14"/>
      <c r="H155" s="14"/>
      <c r="I155" s="14"/>
    </row>
    <row r="156" customFormat="false" ht="36" hidden="false" customHeight="true" outlineLevel="0" collapsed="false">
      <c r="A156" s="14" t="n">
        <v>8</v>
      </c>
      <c r="B156" s="14" t="s">
        <v>251</v>
      </c>
      <c r="C156" s="14" t="s">
        <v>3</v>
      </c>
      <c r="D156" s="14"/>
      <c r="E156" s="14"/>
      <c r="F156" s="14"/>
      <c r="G156" s="14"/>
      <c r="H156" s="14"/>
      <c r="I156" s="14"/>
    </row>
    <row r="157" customFormat="false" ht="36" hidden="false" customHeight="true" outlineLevel="0" collapsed="false">
      <c r="A157" s="14" t="n">
        <v>9</v>
      </c>
      <c r="B157" s="14" t="s">
        <v>252</v>
      </c>
      <c r="C157" s="14" t="s">
        <v>4</v>
      </c>
      <c r="D157" s="14"/>
      <c r="E157" s="14"/>
      <c r="F157" s="14"/>
      <c r="G157" s="14"/>
      <c r="H157" s="14"/>
      <c r="I157" s="14"/>
    </row>
    <row r="158" customFormat="false" ht="36" hidden="false" customHeight="true" outlineLevel="0" collapsed="false">
      <c r="A158" s="14" t="n">
        <v>10</v>
      </c>
      <c r="B158" s="14" t="s">
        <v>253</v>
      </c>
      <c r="C158" s="14" t="s">
        <v>3</v>
      </c>
      <c r="D158" s="14"/>
      <c r="E158" s="14"/>
      <c r="F158" s="14"/>
      <c r="G158" s="14"/>
      <c r="H158" s="14"/>
      <c r="I158" s="14"/>
    </row>
    <row r="159" customFormat="false" ht="45.75" hidden="false" customHeight="true" outlineLevel="0" collapsed="false">
      <c r="A159" s="14" t="n">
        <v>11</v>
      </c>
      <c r="B159" s="14" t="s">
        <v>254</v>
      </c>
      <c r="C159" s="14" t="s">
        <v>3</v>
      </c>
      <c r="D159" s="14" t="s">
        <v>26</v>
      </c>
      <c r="E159" s="14" t="s">
        <v>255</v>
      </c>
      <c r="F159" s="14" t="s">
        <v>256</v>
      </c>
      <c r="G159" s="14" t="s">
        <v>257</v>
      </c>
      <c r="H159" s="14"/>
      <c r="I159" s="14"/>
    </row>
    <row r="161" customFormat="false" ht="24" hidden="false" customHeight="true" outlineLevel="0" collapsed="false">
      <c r="A161" s="32" t="s">
        <v>179</v>
      </c>
      <c r="B161" s="32"/>
      <c r="C161" s="32"/>
      <c r="D161" s="32"/>
      <c r="E161" s="32"/>
      <c r="F161" s="32"/>
      <c r="G161" s="32"/>
      <c r="H161" s="32"/>
      <c r="I161" s="32"/>
    </row>
    <row r="162" customFormat="false" ht="33.75" hidden="false" customHeight="true" outlineLevel="0" collapsed="false">
      <c r="A162" s="13" t="s">
        <v>35</v>
      </c>
      <c r="B162" s="13" t="s">
        <v>148</v>
      </c>
      <c r="C162" s="13"/>
      <c r="D162" s="13"/>
      <c r="E162" s="13"/>
      <c r="F162" s="13"/>
      <c r="G162" s="13"/>
      <c r="H162" s="13"/>
      <c r="I162" s="13"/>
    </row>
    <row r="163" customFormat="false" ht="138.75" hidden="false" customHeight="true" outlineLevel="0" collapsed="false">
      <c r="A163" s="14" t="n">
        <v>1</v>
      </c>
      <c r="B163" s="14" t="s">
        <v>258</v>
      </c>
      <c r="C163" s="14"/>
      <c r="D163" s="14"/>
      <c r="E163" s="14"/>
      <c r="F163" s="14"/>
      <c r="G163" s="14"/>
      <c r="H163" s="14"/>
      <c r="I163" s="14"/>
    </row>
    <row r="164" customFormat="false" ht="48.75" hidden="false" customHeight="true" outlineLevel="0" collapsed="false">
      <c r="A164" s="14" t="n">
        <v>2</v>
      </c>
      <c r="B164" s="14" t="s">
        <v>259</v>
      </c>
      <c r="C164" s="14"/>
      <c r="D164" s="14"/>
      <c r="E164" s="14"/>
      <c r="F164" s="14"/>
      <c r="G164" s="14"/>
      <c r="H164" s="14"/>
      <c r="I164" s="14"/>
    </row>
    <row r="165" customFormat="false" ht="48.75" hidden="false" customHeight="true" outlineLevel="0" collapsed="false">
      <c r="A165" s="14" t="n">
        <v>3</v>
      </c>
      <c r="B165" s="14" t="s">
        <v>260</v>
      </c>
      <c r="C165" s="14"/>
      <c r="D165" s="14"/>
      <c r="E165" s="14"/>
      <c r="F165" s="14"/>
      <c r="G165" s="14"/>
      <c r="H165" s="14"/>
      <c r="I165" s="14"/>
    </row>
    <row r="166" customFormat="false" ht="482.25" hidden="false" customHeight="true" outlineLevel="0" collapsed="false">
      <c r="A166" s="14" t="n">
        <v>4</v>
      </c>
      <c r="B166" s="14" t="s">
        <v>261</v>
      </c>
      <c r="C166" s="33" t="s">
        <v>262</v>
      </c>
      <c r="D166" s="34"/>
      <c r="E166" s="34"/>
      <c r="F166" s="34"/>
      <c r="G166" s="34"/>
      <c r="H166" s="35"/>
      <c r="I166" s="35"/>
    </row>
    <row r="167" customFormat="false" ht="18" hidden="false" customHeight="true" outlineLevel="0" collapsed="false">
      <c r="A167" s="14" t="n">
        <v>5</v>
      </c>
      <c r="B167" s="14"/>
      <c r="C167" s="14"/>
      <c r="D167" s="14"/>
      <c r="E167" s="14"/>
      <c r="F167" s="14"/>
      <c r="G167" s="14"/>
      <c r="H167" s="14"/>
      <c r="I167" s="14"/>
    </row>
    <row r="168" customFormat="false" ht="30" hidden="false" customHeight="true" outlineLevel="0" collapsed="false"/>
    <row r="169" customFormat="false" ht="45.75" hidden="false" customHeight="true" outlineLevel="0" collapsed="false"/>
    <row r="170" customFormat="false" ht="45.75" hidden="false" customHeight="true" outlineLevel="0" collapsed="false">
      <c r="A170" s="42" t="s">
        <v>263</v>
      </c>
    </row>
    <row r="171" customFormat="false" ht="45.75" hidden="false" customHeight="true" outlineLevel="0" collapsed="false">
      <c r="A171" s="29" t="s">
        <v>139</v>
      </c>
      <c r="B171" s="30" t="s">
        <v>264</v>
      </c>
    </row>
    <row r="172" customFormat="false" ht="45.75" hidden="false" customHeight="true" outlineLevel="0" collapsed="false">
      <c r="A172" s="29" t="s">
        <v>141</v>
      </c>
      <c r="B172" s="30" t="s">
        <v>265</v>
      </c>
    </row>
    <row r="173" customFormat="false" ht="18" hidden="false" customHeight="true" outlineLevel="0" collapsed="false">
      <c r="A173" s="37" t="s">
        <v>143</v>
      </c>
      <c r="B173" s="37"/>
      <c r="C173" s="37"/>
      <c r="D173" s="37"/>
      <c r="E173" s="37"/>
      <c r="F173" s="37"/>
      <c r="G173" s="37"/>
      <c r="H173" s="37"/>
      <c r="I173" s="37"/>
    </row>
    <row r="174" customFormat="false" ht="30" hidden="false" customHeight="true" outlineLevel="0" collapsed="false">
      <c r="A174" s="29" t="s">
        <v>155</v>
      </c>
      <c r="B174" s="30" t="s">
        <v>266</v>
      </c>
      <c r="C174" s="22"/>
      <c r="D174" s="22"/>
      <c r="E174" s="22"/>
      <c r="F174" s="22"/>
      <c r="G174" s="22"/>
    </row>
    <row r="175" customFormat="false" ht="36" hidden="false" customHeight="true" outlineLevel="0" collapsed="false">
      <c r="C175" s="22"/>
      <c r="D175" s="22"/>
      <c r="E175" s="22"/>
      <c r="F175" s="22"/>
      <c r="G175" s="22"/>
    </row>
    <row r="176" customFormat="false" ht="36" hidden="false" customHeight="true" outlineLevel="0" collapsed="false">
      <c r="A176" s="31" t="s">
        <v>147</v>
      </c>
      <c r="C176" s="22"/>
      <c r="D176" s="22"/>
      <c r="E176" s="22"/>
      <c r="F176" s="22"/>
      <c r="G176" s="22"/>
    </row>
    <row r="177" customFormat="false" ht="36" hidden="false" customHeight="true" outlineLevel="0" collapsed="false">
      <c r="A177" s="13" t="s">
        <v>35</v>
      </c>
      <c r="B177" s="13" t="s">
        <v>148</v>
      </c>
      <c r="C177" s="13" t="s">
        <v>149</v>
      </c>
      <c r="D177" s="13"/>
      <c r="E177" s="13"/>
      <c r="F177" s="13"/>
      <c r="G177" s="13"/>
      <c r="H177" s="13" t="s">
        <v>154</v>
      </c>
      <c r="I177" s="13" t="s">
        <v>155</v>
      </c>
    </row>
    <row r="178" customFormat="false" ht="68.25" hidden="false" customHeight="true" outlineLevel="0" collapsed="false">
      <c r="A178" s="14" t="n">
        <v>1</v>
      </c>
      <c r="B178" s="14" t="s">
        <v>267</v>
      </c>
      <c r="C178" s="14" t="s">
        <v>268</v>
      </c>
      <c r="D178" s="14" t="s">
        <v>269</v>
      </c>
      <c r="E178" s="14" t="s">
        <v>270</v>
      </c>
      <c r="F178" s="14" t="s">
        <v>271</v>
      </c>
      <c r="G178" s="14" t="s">
        <v>272</v>
      </c>
      <c r="H178" s="14"/>
      <c r="I178" s="14"/>
    </row>
    <row r="179" customFormat="false" ht="45.75" hidden="false" customHeight="true" outlineLevel="0" collapsed="false">
      <c r="A179" s="14" t="n">
        <v>2</v>
      </c>
      <c r="B179" s="14" t="s">
        <v>273</v>
      </c>
      <c r="C179" s="14" t="s">
        <v>3</v>
      </c>
      <c r="D179" s="14" t="s">
        <v>26</v>
      </c>
      <c r="E179" s="14" t="s">
        <v>274</v>
      </c>
      <c r="F179" s="14" t="s">
        <v>275</v>
      </c>
      <c r="G179" s="14" t="s">
        <v>276</v>
      </c>
      <c r="H179" s="14"/>
      <c r="I179" s="14"/>
    </row>
    <row r="180" customFormat="false" ht="45.75" hidden="false" customHeight="true" outlineLevel="0" collapsed="false">
      <c r="A180" s="14" t="n">
        <v>3</v>
      </c>
      <c r="B180" s="14" t="s">
        <v>277</v>
      </c>
      <c r="C180" s="14" t="s">
        <v>278</v>
      </c>
      <c r="D180" s="14" t="s">
        <v>279</v>
      </c>
      <c r="E180" s="14" t="s">
        <v>280</v>
      </c>
      <c r="F180" s="14" t="s">
        <v>281</v>
      </c>
      <c r="G180" s="14" t="s">
        <v>282</v>
      </c>
      <c r="H180" s="14"/>
      <c r="I180" s="14"/>
    </row>
    <row r="182" customFormat="false" ht="15" hidden="false" customHeight="true" outlineLevel="0" collapsed="false">
      <c r="A182" s="38" t="s">
        <v>179</v>
      </c>
    </row>
    <row r="183" customFormat="false" ht="15" hidden="false" customHeight="true" outlineLevel="0" collapsed="false">
      <c r="A183" s="13" t="s">
        <v>35</v>
      </c>
      <c r="B183" s="13" t="s">
        <v>148</v>
      </c>
      <c r="C183" s="13" t="s">
        <v>283</v>
      </c>
      <c r="D183" s="34"/>
      <c r="E183" s="34"/>
      <c r="F183" s="34"/>
      <c r="G183" s="43"/>
      <c r="H183" s="13" t="s">
        <v>284</v>
      </c>
      <c r="I183" s="13" t="s">
        <v>155</v>
      </c>
    </row>
    <row r="184" customFormat="false" ht="45.75" hidden="false" customHeight="true" outlineLevel="0" collapsed="false">
      <c r="A184" s="14" t="n">
        <v>1</v>
      </c>
      <c r="B184" s="14" t="s">
        <v>285</v>
      </c>
      <c r="C184" s="33" t="s">
        <v>286</v>
      </c>
      <c r="D184" s="34"/>
      <c r="E184" s="34"/>
      <c r="F184" s="34"/>
      <c r="G184" s="34"/>
      <c r="H184" s="35"/>
      <c r="I184" s="35"/>
    </row>
    <row r="185" customFormat="false" ht="90.75" hidden="false" customHeight="true" outlineLevel="0" collapsed="false">
      <c r="A185" s="14" t="n">
        <v>2</v>
      </c>
      <c r="B185" s="14" t="s">
        <v>287</v>
      </c>
      <c r="C185" s="33" t="s">
        <v>288</v>
      </c>
      <c r="D185" s="34"/>
      <c r="E185" s="34"/>
      <c r="F185" s="34"/>
      <c r="G185" s="34"/>
      <c r="H185" s="35"/>
      <c r="I185" s="35"/>
    </row>
    <row r="186" customFormat="false" ht="68.25" hidden="false" customHeight="true" outlineLevel="0" collapsed="false">
      <c r="A186" s="14" t="n">
        <v>3</v>
      </c>
      <c r="B186" s="14" t="s">
        <v>289</v>
      </c>
      <c r="C186" s="33" t="s">
        <v>290</v>
      </c>
      <c r="D186" s="34"/>
      <c r="E186" s="34"/>
      <c r="F186" s="34"/>
      <c r="G186" s="34"/>
      <c r="H186" s="35"/>
      <c r="I186" s="35"/>
    </row>
  </sheetData>
  <mergeCells count="87">
    <mergeCell ref="A1:I1"/>
    <mergeCell ref="A2:I2"/>
    <mergeCell ref="A4:I4"/>
    <mergeCell ref="F6:I6"/>
    <mergeCell ref="F7:I7"/>
    <mergeCell ref="A9:I9"/>
    <mergeCell ref="A10:I10"/>
    <mergeCell ref="A12:I12"/>
    <mergeCell ref="A13:I13"/>
    <mergeCell ref="A22:I22"/>
    <mergeCell ref="A23:I23"/>
    <mergeCell ref="A24:I24"/>
    <mergeCell ref="A32:I32"/>
    <mergeCell ref="B33:I33"/>
    <mergeCell ref="B34:I34"/>
    <mergeCell ref="B35:I35"/>
    <mergeCell ref="B36:I36"/>
    <mergeCell ref="A38:I38"/>
    <mergeCell ref="A53:I53"/>
    <mergeCell ref="C54:G54"/>
    <mergeCell ref="C55:G55"/>
    <mergeCell ref="C56:G56"/>
    <mergeCell ref="C57:G57"/>
    <mergeCell ref="C58:G58"/>
    <mergeCell ref="C59:G59"/>
    <mergeCell ref="A62:I62"/>
    <mergeCell ref="B63:I63"/>
    <mergeCell ref="B64:I64"/>
    <mergeCell ref="B65:I65"/>
    <mergeCell ref="B66:I66"/>
    <mergeCell ref="A68:I68"/>
    <mergeCell ref="A75:I75"/>
    <mergeCell ref="C76:G76"/>
    <mergeCell ref="C77:G77"/>
    <mergeCell ref="C78:G78"/>
    <mergeCell ref="C79:G79"/>
    <mergeCell ref="C80:G80"/>
    <mergeCell ref="A83:I83"/>
    <mergeCell ref="B84:I84"/>
    <mergeCell ref="B85:I85"/>
    <mergeCell ref="B86:I86"/>
    <mergeCell ref="B87:I87"/>
    <mergeCell ref="A89:I89"/>
    <mergeCell ref="A96:I96"/>
    <mergeCell ref="C97:G97"/>
    <mergeCell ref="C98:G98"/>
    <mergeCell ref="C99:G99"/>
    <mergeCell ref="C100:G100"/>
    <mergeCell ref="C101:G101"/>
    <mergeCell ref="C102:G102"/>
    <mergeCell ref="A105:I105"/>
    <mergeCell ref="B106:I106"/>
    <mergeCell ref="B107:I107"/>
    <mergeCell ref="B108:I108"/>
    <mergeCell ref="B109:I109"/>
    <mergeCell ref="A111:I111"/>
    <mergeCell ref="A123:I123"/>
    <mergeCell ref="C124:G124"/>
    <mergeCell ref="C125:G125"/>
    <mergeCell ref="C126:G126"/>
    <mergeCell ref="C127:G127"/>
    <mergeCell ref="C128:G128"/>
    <mergeCell ref="C129:G129"/>
    <mergeCell ref="A132:I132"/>
    <mergeCell ref="B133:I133"/>
    <mergeCell ref="B134:I134"/>
    <mergeCell ref="B135:I135"/>
    <mergeCell ref="B136:I136"/>
    <mergeCell ref="A138:I138"/>
    <mergeCell ref="A152:I152"/>
    <mergeCell ref="C153:G153"/>
    <mergeCell ref="C154:G154"/>
    <mergeCell ref="C155:G155"/>
    <mergeCell ref="C156:G156"/>
    <mergeCell ref="C157:G157"/>
    <mergeCell ref="C158:G158"/>
    <mergeCell ref="A161:I161"/>
    <mergeCell ref="B162:I162"/>
    <mergeCell ref="B163:I163"/>
    <mergeCell ref="B164:I164"/>
    <mergeCell ref="B165:I165"/>
    <mergeCell ref="A167:I167"/>
    <mergeCell ref="A173:I173"/>
    <mergeCell ref="C174:G174"/>
    <mergeCell ref="C175:G175"/>
    <mergeCell ref="C176:G176"/>
    <mergeCell ref="C177:G1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customHeight="tru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0"/>
    <col collapsed="false" customWidth="true" hidden="false" outlineLevel="0" max="4" min="4" style="1" width="12"/>
    <col collapsed="false" customWidth="true" hidden="false" outlineLevel="0" max="5" min="5" style="1" width="34"/>
    <col collapsed="false" customWidth="true" hidden="false" outlineLevel="0" max="6" min="6" style="1" width="30"/>
    <col collapsed="false" customWidth="true" hidden="false" outlineLevel="0" max="8" min="7" style="1" width="55"/>
    <col collapsed="false" customWidth="true" hidden="false" outlineLevel="0" max="9" min="9" style="1" width="28"/>
    <col collapsed="false" customWidth="true" hidden="false" outlineLevel="0" max="10" min="10" style="1" width="14"/>
    <col collapsed="false" customWidth="true" hidden="false" outlineLevel="0" max="11" min="11" style="1" width="40"/>
    <col collapsed="false" customWidth="true" hidden="false" outlineLevel="0" max="14" min="12" style="1" width="14"/>
  </cols>
  <sheetData>
    <row r="1" customFormat="false" ht="31.5" hidden="false" customHeight="true" outlineLevel="0" collapsed="false">
      <c r="A1" s="44" t="s">
        <v>291</v>
      </c>
      <c r="B1" s="44"/>
      <c r="C1" s="44"/>
      <c r="D1" s="44"/>
      <c r="E1" s="44"/>
      <c r="F1" s="44"/>
      <c r="G1" s="44"/>
      <c r="H1" s="44"/>
      <c r="I1" s="44"/>
      <c r="J1" s="44"/>
      <c r="K1" s="44"/>
    </row>
    <row r="2" customFormat="false" ht="21.75" hidden="false" customHeight="true" outlineLevel="0" collapsed="false">
      <c r="A2" s="3" t="s">
        <v>292</v>
      </c>
      <c r="B2" s="3"/>
      <c r="C2" s="3"/>
      <c r="D2" s="3"/>
      <c r="E2" s="3"/>
      <c r="F2" s="3"/>
      <c r="G2" s="3"/>
      <c r="H2" s="3"/>
      <c r="I2" s="3"/>
      <c r="J2" s="3"/>
      <c r="K2" s="3"/>
    </row>
    <row r="4" customFormat="false" ht="30" hidden="false" customHeight="true" outlineLevel="0" collapsed="false">
      <c r="A4" s="45" t="s">
        <v>293</v>
      </c>
      <c r="B4" s="45" t="s">
        <v>151</v>
      </c>
      <c r="C4" s="45" t="s">
        <v>149</v>
      </c>
      <c r="D4" s="45" t="s">
        <v>150</v>
      </c>
      <c r="E4" s="45" t="s">
        <v>294</v>
      </c>
      <c r="F4" s="45" t="s">
        <v>295</v>
      </c>
      <c r="G4" s="45" t="s">
        <v>296</v>
      </c>
      <c r="H4" s="45" t="s">
        <v>297</v>
      </c>
      <c r="I4" s="45" t="s">
        <v>298</v>
      </c>
      <c r="J4" s="45" t="s">
        <v>9</v>
      </c>
      <c r="K4" s="45" t="s">
        <v>299</v>
      </c>
      <c r="L4" s="45" t="s">
        <v>300</v>
      </c>
      <c r="M4" s="45" t="s">
        <v>301</v>
      </c>
      <c r="N4" s="45" t="s">
        <v>302</v>
      </c>
    </row>
    <row r="5" customFormat="false" ht="66" hidden="false" customHeight="true" outlineLevel="0" collapsed="false">
      <c r="A5" s="46" t="s">
        <v>156</v>
      </c>
      <c r="B5" s="46" t="s">
        <v>303</v>
      </c>
      <c r="C5" s="46" t="s">
        <v>3</v>
      </c>
      <c r="D5" s="46" t="s">
        <v>26</v>
      </c>
      <c r="E5" s="46" t="s">
        <v>304</v>
      </c>
      <c r="F5" s="46" t="s">
        <v>305</v>
      </c>
      <c r="G5" s="46" t="s">
        <v>306</v>
      </c>
      <c r="H5" s="46" t="s">
        <v>307</v>
      </c>
      <c r="I5" s="46" t="s">
        <v>308</v>
      </c>
      <c r="J5" s="46" t="s">
        <v>9</v>
      </c>
      <c r="K5" s="46" t="s">
        <v>309</v>
      </c>
      <c r="L5" s="47" t="s">
        <v>310</v>
      </c>
      <c r="M5" s="48" t="s">
        <v>311</v>
      </c>
      <c r="N5" s="49" t="s">
        <v>127</v>
      </c>
    </row>
    <row r="6" customFormat="false" ht="66" hidden="false" customHeight="true" outlineLevel="0" collapsed="false">
      <c r="A6" s="50" t="s">
        <v>160</v>
      </c>
      <c r="B6" s="50" t="s">
        <v>303</v>
      </c>
      <c r="C6" s="50" t="s">
        <v>4</v>
      </c>
      <c r="D6" s="50" t="s">
        <v>26</v>
      </c>
      <c r="E6" s="50" t="s">
        <v>304</v>
      </c>
      <c r="F6" s="50" t="s">
        <v>305</v>
      </c>
      <c r="G6" s="50" t="s">
        <v>312</v>
      </c>
      <c r="H6" s="50" t="s">
        <v>313</v>
      </c>
      <c r="I6" s="50" t="s">
        <v>314</v>
      </c>
      <c r="J6" s="50" t="s">
        <v>9</v>
      </c>
      <c r="K6" s="50" t="s">
        <v>315</v>
      </c>
      <c r="L6" s="47" t="s">
        <v>310</v>
      </c>
      <c r="M6" s="51" t="s">
        <v>316</v>
      </c>
      <c r="N6" s="49" t="s">
        <v>127</v>
      </c>
    </row>
    <row r="7" customFormat="false" ht="66" hidden="false" customHeight="true" outlineLevel="0" collapsed="false">
      <c r="A7" s="46" t="s">
        <v>180</v>
      </c>
      <c r="B7" s="46" t="s">
        <v>317</v>
      </c>
      <c r="C7" s="46" t="s">
        <v>3</v>
      </c>
      <c r="D7" s="46" t="s">
        <v>26</v>
      </c>
      <c r="E7" s="46" t="s">
        <v>318</v>
      </c>
      <c r="F7" s="46" t="s">
        <v>319</v>
      </c>
      <c r="G7" s="46" t="s">
        <v>320</v>
      </c>
      <c r="H7" s="46" t="s">
        <v>321</v>
      </c>
      <c r="I7" s="46"/>
      <c r="J7" s="46" t="s">
        <v>9</v>
      </c>
      <c r="K7" s="46"/>
      <c r="L7" s="47" t="s">
        <v>310</v>
      </c>
      <c r="M7" s="48" t="s">
        <v>322</v>
      </c>
      <c r="N7" s="49" t="s">
        <v>127</v>
      </c>
    </row>
    <row r="8" customFormat="false" ht="66" hidden="false" customHeight="true" outlineLevel="0" collapsed="false">
      <c r="A8" s="50" t="s">
        <v>162</v>
      </c>
      <c r="B8" s="50" t="s">
        <v>323</v>
      </c>
      <c r="C8" s="50" t="s">
        <v>3</v>
      </c>
      <c r="D8" s="50" t="s">
        <v>20</v>
      </c>
      <c r="E8" s="50" t="s">
        <v>324</v>
      </c>
      <c r="F8" s="50" t="s">
        <v>325</v>
      </c>
      <c r="G8" s="50" t="s">
        <v>326</v>
      </c>
      <c r="H8" s="50" t="s">
        <v>327</v>
      </c>
      <c r="I8" s="50" t="s">
        <v>328</v>
      </c>
      <c r="J8" s="50" t="s">
        <v>9</v>
      </c>
      <c r="K8" s="50" t="s">
        <v>329</v>
      </c>
      <c r="L8" s="47" t="s">
        <v>310</v>
      </c>
      <c r="M8" s="51" t="s">
        <v>330</v>
      </c>
      <c r="N8" s="49" t="s">
        <v>127</v>
      </c>
    </row>
    <row r="9" customFormat="false" ht="66" hidden="false" customHeight="true" outlineLevel="0" collapsed="false">
      <c r="A9" s="46" t="s">
        <v>166</v>
      </c>
      <c r="B9" s="46" t="s">
        <v>323</v>
      </c>
      <c r="C9" s="46" t="s">
        <v>4</v>
      </c>
      <c r="D9" s="46" t="s">
        <v>20</v>
      </c>
      <c r="E9" s="46" t="s">
        <v>324</v>
      </c>
      <c r="F9" s="46" t="s">
        <v>325</v>
      </c>
      <c r="G9" s="46" t="s">
        <v>331</v>
      </c>
      <c r="H9" s="46" t="s">
        <v>332</v>
      </c>
      <c r="I9" s="46" t="s">
        <v>333</v>
      </c>
      <c r="J9" s="46" t="s">
        <v>9</v>
      </c>
      <c r="K9" s="46" t="s">
        <v>334</v>
      </c>
      <c r="L9" s="47" t="s">
        <v>310</v>
      </c>
      <c r="M9" s="48" t="s">
        <v>316</v>
      </c>
      <c r="N9" s="49" t="s">
        <v>127</v>
      </c>
    </row>
    <row r="10" customFormat="false" ht="66" hidden="false" customHeight="true" outlineLevel="0" collapsed="false">
      <c r="A10" s="50" t="s">
        <v>204</v>
      </c>
      <c r="B10" s="50" t="s">
        <v>335</v>
      </c>
      <c r="C10" s="50" t="s">
        <v>3</v>
      </c>
      <c r="D10" s="50" t="s">
        <v>20</v>
      </c>
      <c r="E10" s="50" t="s">
        <v>336</v>
      </c>
      <c r="F10" s="50" t="s">
        <v>337</v>
      </c>
      <c r="G10" s="50" t="s">
        <v>338</v>
      </c>
      <c r="H10" s="50"/>
      <c r="I10" s="50" t="s">
        <v>339</v>
      </c>
      <c r="J10" s="50"/>
      <c r="K10" s="50" t="s">
        <v>340</v>
      </c>
      <c r="L10" s="47" t="s">
        <v>310</v>
      </c>
      <c r="M10" s="51" t="s">
        <v>341</v>
      </c>
      <c r="N10" s="47" t="s">
        <v>342</v>
      </c>
    </row>
    <row r="11" customFormat="false" ht="66" hidden="false" customHeight="true" outlineLevel="0" collapsed="false">
      <c r="A11" s="46" t="s">
        <v>205</v>
      </c>
      <c r="B11" s="46" t="s">
        <v>335</v>
      </c>
      <c r="C11" s="46" t="s">
        <v>4</v>
      </c>
      <c r="D11" s="46" t="s">
        <v>20</v>
      </c>
      <c r="E11" s="46" t="s">
        <v>336</v>
      </c>
      <c r="F11" s="46" t="s">
        <v>337</v>
      </c>
      <c r="G11" s="46" t="s">
        <v>343</v>
      </c>
      <c r="H11" s="46"/>
      <c r="I11" s="46" t="s">
        <v>344</v>
      </c>
      <c r="J11" s="46"/>
      <c r="K11" s="46" t="s">
        <v>345</v>
      </c>
      <c r="L11" s="52" t="s">
        <v>346</v>
      </c>
      <c r="M11" s="48" t="s">
        <v>347</v>
      </c>
      <c r="N11" s="47" t="s">
        <v>342</v>
      </c>
    </row>
    <row r="12" customFormat="false" ht="66" hidden="false" customHeight="true" outlineLevel="0" collapsed="false">
      <c r="A12" s="50" t="s">
        <v>169</v>
      </c>
      <c r="B12" s="50" t="s">
        <v>348</v>
      </c>
      <c r="C12" s="50" t="s">
        <v>3</v>
      </c>
      <c r="D12" s="50" t="s">
        <v>20</v>
      </c>
      <c r="E12" s="50"/>
      <c r="F12" s="50" t="s">
        <v>325</v>
      </c>
      <c r="G12" s="50" t="s">
        <v>349</v>
      </c>
      <c r="H12" s="50" t="s">
        <v>350</v>
      </c>
      <c r="I12" s="50" t="s">
        <v>351</v>
      </c>
      <c r="J12" s="50" t="s">
        <v>9</v>
      </c>
      <c r="K12" s="50"/>
      <c r="L12" s="47" t="s">
        <v>310</v>
      </c>
      <c r="M12" s="51" t="s">
        <v>352</v>
      </c>
      <c r="N12" s="49" t="s">
        <v>127</v>
      </c>
    </row>
    <row r="13" customFormat="false" ht="66" hidden="false" customHeight="true" outlineLevel="0" collapsed="false">
      <c r="A13" s="46" t="s">
        <v>218</v>
      </c>
      <c r="B13" s="46" t="s">
        <v>353</v>
      </c>
      <c r="C13" s="46" t="s">
        <v>3</v>
      </c>
      <c r="D13" s="46" t="s">
        <v>26</v>
      </c>
      <c r="E13" s="46" t="s">
        <v>354</v>
      </c>
      <c r="F13" s="46" t="s">
        <v>355</v>
      </c>
      <c r="G13" s="46" t="s">
        <v>356</v>
      </c>
      <c r="H13" s="46" t="s">
        <v>357</v>
      </c>
      <c r="I13" s="46" t="s">
        <v>358</v>
      </c>
      <c r="J13" s="46" t="s">
        <v>9</v>
      </c>
      <c r="K13" s="46" t="s">
        <v>359</v>
      </c>
      <c r="L13" s="47" t="s">
        <v>310</v>
      </c>
      <c r="M13" s="48" t="s">
        <v>360</v>
      </c>
      <c r="N13" s="52" t="s">
        <v>124</v>
      </c>
    </row>
    <row r="14" customFormat="false" ht="66" hidden="false" customHeight="true" outlineLevel="0" collapsed="false">
      <c r="A14" s="50" t="s">
        <v>219</v>
      </c>
      <c r="B14" s="50" t="s">
        <v>361</v>
      </c>
      <c r="C14" s="50" t="s">
        <v>3</v>
      </c>
      <c r="D14" s="50" t="s">
        <v>26</v>
      </c>
      <c r="E14" s="50" t="s">
        <v>362</v>
      </c>
      <c r="F14" s="50" t="s">
        <v>363</v>
      </c>
      <c r="G14" s="50" t="s">
        <v>364</v>
      </c>
      <c r="H14" s="50"/>
      <c r="I14" s="50" t="s">
        <v>365</v>
      </c>
      <c r="J14" s="50"/>
      <c r="K14" s="50" t="s">
        <v>366</v>
      </c>
      <c r="L14" s="47" t="s">
        <v>310</v>
      </c>
      <c r="M14" s="51" t="s">
        <v>367</v>
      </c>
      <c r="N14" s="52" t="s">
        <v>124</v>
      </c>
    </row>
    <row r="15" customFormat="false" ht="66" hidden="false" customHeight="true" outlineLevel="0" collapsed="false">
      <c r="A15" s="46" t="s">
        <v>220</v>
      </c>
      <c r="B15" s="46" t="s">
        <v>368</v>
      </c>
      <c r="C15" s="46" t="s">
        <v>3</v>
      </c>
      <c r="D15" s="46" t="s">
        <v>26</v>
      </c>
      <c r="E15" s="46" t="s">
        <v>369</v>
      </c>
      <c r="F15" s="46" t="s">
        <v>370</v>
      </c>
      <c r="G15" s="46" t="s">
        <v>371</v>
      </c>
      <c r="H15" s="46"/>
      <c r="I15" s="46" t="s">
        <v>365</v>
      </c>
      <c r="J15" s="46" t="s">
        <v>9</v>
      </c>
      <c r="K15" s="46" t="s">
        <v>372</v>
      </c>
      <c r="L15" s="47" t="s">
        <v>310</v>
      </c>
      <c r="M15" s="48" t="s">
        <v>373</v>
      </c>
      <c r="N15" s="52" t="s">
        <v>124</v>
      </c>
    </row>
    <row r="16" customFormat="false" ht="66" hidden="false" customHeight="true" outlineLevel="0" collapsed="false">
      <c r="A16" s="50" t="s">
        <v>221</v>
      </c>
      <c r="B16" s="50" t="s">
        <v>374</v>
      </c>
      <c r="C16" s="50" t="s">
        <v>3</v>
      </c>
      <c r="D16" s="50" t="s">
        <v>20</v>
      </c>
      <c r="E16" s="50" t="s">
        <v>375</v>
      </c>
      <c r="F16" s="50" t="s">
        <v>376</v>
      </c>
      <c r="G16" s="50" t="s">
        <v>377</v>
      </c>
      <c r="H16" s="50"/>
      <c r="I16" s="50" t="s">
        <v>344</v>
      </c>
      <c r="J16" s="50"/>
      <c r="K16" s="50" t="s">
        <v>378</v>
      </c>
      <c r="L16" s="47" t="s">
        <v>310</v>
      </c>
      <c r="M16" s="51" t="s">
        <v>379</v>
      </c>
      <c r="N16" s="52" t="s">
        <v>124</v>
      </c>
    </row>
    <row r="17" customFormat="false" ht="66" hidden="false" customHeight="true" outlineLevel="0" collapsed="false">
      <c r="A17" s="46" t="s">
        <v>222</v>
      </c>
      <c r="B17" s="46" t="s">
        <v>380</v>
      </c>
      <c r="C17" s="46" t="s">
        <v>3</v>
      </c>
      <c r="D17" s="46" t="s">
        <v>26</v>
      </c>
      <c r="E17" s="46" t="s">
        <v>381</v>
      </c>
      <c r="F17" s="46" t="s">
        <v>382</v>
      </c>
      <c r="G17" s="46" t="s">
        <v>383</v>
      </c>
      <c r="H17" s="46"/>
      <c r="I17" s="46" t="s">
        <v>384</v>
      </c>
      <c r="J17" s="46"/>
      <c r="K17" s="46" t="s">
        <v>385</v>
      </c>
      <c r="L17" s="47" t="s">
        <v>310</v>
      </c>
      <c r="M17" s="48" t="s">
        <v>386</v>
      </c>
      <c r="N17" s="52" t="s">
        <v>124</v>
      </c>
    </row>
    <row r="18" customFormat="false" ht="66" hidden="false" customHeight="true" outlineLevel="0" collapsed="false">
      <c r="A18" s="50" t="s">
        <v>170</v>
      </c>
      <c r="B18" s="50" t="s">
        <v>387</v>
      </c>
      <c r="C18" s="50" t="s">
        <v>3</v>
      </c>
      <c r="D18" s="50" t="s">
        <v>20</v>
      </c>
      <c r="E18" s="50" t="s">
        <v>388</v>
      </c>
      <c r="F18" s="50" t="s">
        <v>389</v>
      </c>
      <c r="G18" s="50" t="s">
        <v>390</v>
      </c>
      <c r="H18" s="50"/>
      <c r="I18" s="50" t="s">
        <v>391</v>
      </c>
      <c r="J18" s="50"/>
      <c r="K18" s="50" t="s">
        <v>392</v>
      </c>
      <c r="L18" s="47" t="s">
        <v>310</v>
      </c>
      <c r="M18" s="51" t="s">
        <v>393</v>
      </c>
      <c r="N18" s="52" t="s">
        <v>124</v>
      </c>
    </row>
    <row r="19" customFormat="false" ht="66" hidden="false" customHeight="true" outlineLevel="0" collapsed="false">
      <c r="A19" s="53" t="s">
        <v>394</v>
      </c>
      <c r="B19" s="53" t="s">
        <v>395</v>
      </c>
      <c r="C19" s="53" t="s">
        <v>3</v>
      </c>
      <c r="D19" s="53" t="s">
        <v>26</v>
      </c>
      <c r="E19" s="53" t="s">
        <v>396</v>
      </c>
      <c r="F19" s="53" t="s">
        <v>397</v>
      </c>
      <c r="G19" s="53" t="s">
        <v>398</v>
      </c>
      <c r="H19" s="53"/>
      <c r="I19" s="53" t="s">
        <v>365</v>
      </c>
      <c r="J19" s="53"/>
      <c r="K19" s="53" t="s">
        <v>399</v>
      </c>
      <c r="L19" s="54" t="s">
        <v>400</v>
      </c>
      <c r="M19" s="55" t="s">
        <v>401</v>
      </c>
      <c r="N19" s="54" t="s">
        <v>342</v>
      </c>
      <c r="O19" s="56"/>
      <c r="P19" s="56"/>
      <c r="Q19" s="56"/>
      <c r="R19" s="56"/>
      <c r="S19" s="56"/>
      <c r="T19" s="56"/>
      <c r="U19" s="56"/>
      <c r="V19" s="56"/>
      <c r="W19" s="56"/>
      <c r="X19" s="56"/>
      <c r="Y19" s="56"/>
      <c r="Z19" s="56"/>
    </row>
    <row r="20" customFormat="false" ht="66" hidden="false" customHeight="true" outlineLevel="0" collapsed="false">
      <c r="A20" s="50" t="s">
        <v>171</v>
      </c>
      <c r="B20" s="50" t="s">
        <v>402</v>
      </c>
      <c r="C20" s="50" t="s">
        <v>3</v>
      </c>
      <c r="D20" s="50" t="s">
        <v>20</v>
      </c>
      <c r="E20" s="50" t="s">
        <v>403</v>
      </c>
      <c r="F20" s="50" t="s">
        <v>404</v>
      </c>
      <c r="G20" s="50" t="s">
        <v>405</v>
      </c>
      <c r="H20" s="50"/>
      <c r="I20" s="50" t="s">
        <v>406</v>
      </c>
      <c r="J20" s="50" t="s">
        <v>9</v>
      </c>
      <c r="K20" s="50" t="s">
        <v>407</v>
      </c>
      <c r="L20" s="47" t="s">
        <v>310</v>
      </c>
      <c r="M20" s="51" t="s">
        <v>408</v>
      </c>
      <c r="N20" s="52" t="s">
        <v>124</v>
      </c>
    </row>
    <row r="21" customFormat="false" ht="66" hidden="false" customHeight="true" outlineLevel="0" collapsed="false">
      <c r="A21" s="46" t="s">
        <v>172</v>
      </c>
      <c r="B21" s="46" t="s">
        <v>409</v>
      </c>
      <c r="C21" s="46" t="s">
        <v>3</v>
      </c>
      <c r="D21" s="46" t="s">
        <v>20</v>
      </c>
      <c r="E21" s="46" t="s">
        <v>410</v>
      </c>
      <c r="F21" s="46" t="s">
        <v>411</v>
      </c>
      <c r="G21" s="46" t="s">
        <v>412</v>
      </c>
      <c r="H21" s="46" t="s">
        <v>413</v>
      </c>
      <c r="I21" s="46" t="s">
        <v>414</v>
      </c>
      <c r="J21" s="46" t="s">
        <v>9</v>
      </c>
      <c r="K21" s="46" t="s">
        <v>415</v>
      </c>
      <c r="L21" s="47" t="s">
        <v>310</v>
      </c>
      <c r="M21" s="48" t="s">
        <v>416</v>
      </c>
      <c r="N21" s="49" t="s">
        <v>127</v>
      </c>
    </row>
    <row r="22" customFormat="false" ht="66" hidden="false" customHeight="true" outlineLevel="0" collapsed="false">
      <c r="A22" s="50" t="s">
        <v>173</v>
      </c>
      <c r="B22" s="50" t="s">
        <v>417</v>
      </c>
      <c r="C22" s="50" t="s">
        <v>3</v>
      </c>
      <c r="D22" s="50" t="s">
        <v>20</v>
      </c>
      <c r="E22" s="50" t="s">
        <v>418</v>
      </c>
      <c r="F22" s="50" t="s">
        <v>419</v>
      </c>
      <c r="G22" s="50" t="s">
        <v>420</v>
      </c>
      <c r="H22" s="50" t="s">
        <v>421</v>
      </c>
      <c r="I22" s="50" t="s">
        <v>422</v>
      </c>
      <c r="J22" s="50" t="s">
        <v>9</v>
      </c>
      <c r="K22" s="50" t="s">
        <v>423</v>
      </c>
      <c r="L22" s="47" t="s">
        <v>310</v>
      </c>
      <c r="M22" s="51" t="s">
        <v>424</v>
      </c>
      <c r="N22" s="49" t="s">
        <v>127</v>
      </c>
    </row>
    <row r="23" customFormat="false" ht="66" hidden="false" customHeight="true" outlineLevel="0" collapsed="false">
      <c r="A23" s="46" t="s">
        <v>239</v>
      </c>
      <c r="B23" s="46" t="s">
        <v>425</v>
      </c>
      <c r="C23" s="46" t="s">
        <v>3</v>
      </c>
      <c r="D23" s="46" t="s">
        <v>20</v>
      </c>
      <c r="E23" s="46" t="s">
        <v>426</v>
      </c>
      <c r="F23" s="46" t="s">
        <v>427</v>
      </c>
      <c r="G23" s="46" t="s">
        <v>428</v>
      </c>
      <c r="H23" s="46" t="s">
        <v>429</v>
      </c>
      <c r="I23" s="46" t="s">
        <v>430</v>
      </c>
      <c r="J23" s="46" t="s">
        <v>9</v>
      </c>
      <c r="K23" s="46" t="s">
        <v>431</v>
      </c>
      <c r="L23" s="47" t="s">
        <v>310</v>
      </c>
      <c r="M23" s="48" t="s">
        <v>432</v>
      </c>
      <c r="N23" s="52" t="s">
        <v>124</v>
      </c>
    </row>
    <row r="24" customFormat="false" ht="66" hidden="false" customHeight="true" outlineLevel="0" collapsed="false">
      <c r="A24" s="50" t="s">
        <v>433</v>
      </c>
      <c r="B24" s="50" t="s">
        <v>434</v>
      </c>
      <c r="C24" s="50" t="s">
        <v>3</v>
      </c>
      <c r="D24" s="50" t="s">
        <v>20</v>
      </c>
      <c r="E24" s="50" t="s">
        <v>435</v>
      </c>
      <c r="F24" s="50" t="s">
        <v>436</v>
      </c>
      <c r="G24" s="50" t="s">
        <v>437</v>
      </c>
      <c r="H24" s="50" t="s">
        <v>438</v>
      </c>
      <c r="I24" s="50" t="s">
        <v>430</v>
      </c>
      <c r="J24" s="50" t="s">
        <v>9</v>
      </c>
      <c r="K24" s="50" t="s">
        <v>439</v>
      </c>
      <c r="L24" s="47" t="s">
        <v>310</v>
      </c>
      <c r="M24" s="51" t="s">
        <v>440</v>
      </c>
      <c r="N24" s="52" t="s">
        <v>124</v>
      </c>
    </row>
    <row r="25" customFormat="false" ht="66" hidden="false" customHeight="true" outlineLevel="0" collapsed="false">
      <c r="A25" s="46" t="s">
        <v>248</v>
      </c>
      <c r="B25" s="46" t="s">
        <v>441</v>
      </c>
      <c r="C25" s="46" t="s">
        <v>3</v>
      </c>
      <c r="D25" s="46" t="s">
        <v>20</v>
      </c>
      <c r="E25" s="46" t="s">
        <v>442</v>
      </c>
      <c r="F25" s="46" t="s">
        <v>443</v>
      </c>
      <c r="G25" s="46" t="s">
        <v>444</v>
      </c>
      <c r="H25" s="46" t="s">
        <v>445</v>
      </c>
      <c r="I25" s="46" t="s">
        <v>430</v>
      </c>
      <c r="J25" s="46" t="s">
        <v>9</v>
      </c>
      <c r="K25" s="46" t="s">
        <v>446</v>
      </c>
      <c r="L25" s="47" t="s">
        <v>310</v>
      </c>
      <c r="M25" s="48" t="s">
        <v>447</v>
      </c>
      <c r="N25" s="52" t="s">
        <v>124</v>
      </c>
    </row>
    <row r="26" customFormat="false" ht="66" hidden="false" customHeight="true" outlineLevel="0" collapsed="false">
      <c r="A26" s="50" t="s">
        <v>249</v>
      </c>
      <c r="B26" s="50" t="s">
        <v>448</v>
      </c>
      <c r="C26" s="50" t="s">
        <v>3</v>
      </c>
      <c r="D26" s="50" t="s">
        <v>20</v>
      </c>
      <c r="E26" s="50" t="s">
        <v>449</v>
      </c>
      <c r="F26" s="50" t="s">
        <v>450</v>
      </c>
      <c r="G26" s="50" t="s">
        <v>451</v>
      </c>
      <c r="H26" s="50" t="s">
        <v>452</v>
      </c>
      <c r="I26" s="50" t="s">
        <v>430</v>
      </c>
      <c r="J26" s="50" t="s">
        <v>9</v>
      </c>
      <c r="K26" s="50" t="s">
        <v>453</v>
      </c>
      <c r="L26" s="47" t="s">
        <v>310</v>
      </c>
      <c r="M26" s="51" t="s">
        <v>454</v>
      </c>
      <c r="N26" s="52" t="s">
        <v>124</v>
      </c>
    </row>
    <row r="27" customFormat="false" ht="66" hidden="false" customHeight="true" outlineLevel="0" collapsed="false">
      <c r="A27" s="46" t="s">
        <v>250</v>
      </c>
      <c r="B27" s="46" t="s">
        <v>455</v>
      </c>
      <c r="C27" s="46" t="s">
        <v>3</v>
      </c>
      <c r="D27" s="46" t="s">
        <v>20</v>
      </c>
      <c r="E27" s="46" t="s">
        <v>456</v>
      </c>
      <c r="F27" s="46" t="s">
        <v>457</v>
      </c>
      <c r="G27" s="46" t="s">
        <v>458</v>
      </c>
      <c r="H27" s="46" t="s">
        <v>459</v>
      </c>
      <c r="I27" s="46" t="s">
        <v>430</v>
      </c>
      <c r="J27" s="46" t="s">
        <v>9</v>
      </c>
      <c r="K27" s="46" t="s">
        <v>460</v>
      </c>
      <c r="L27" s="47" t="s">
        <v>310</v>
      </c>
      <c r="M27" s="48" t="s">
        <v>461</v>
      </c>
      <c r="N27" s="52" t="s">
        <v>124</v>
      </c>
    </row>
    <row r="28" customFormat="false" ht="66" hidden="false" customHeight="true" outlineLevel="0" collapsed="false">
      <c r="A28" s="46" t="s">
        <v>251</v>
      </c>
      <c r="B28" s="46" t="s">
        <v>462</v>
      </c>
      <c r="C28" s="46" t="s">
        <v>3</v>
      </c>
      <c r="D28" s="46" t="s">
        <v>20</v>
      </c>
      <c r="E28" s="46" t="s">
        <v>463</v>
      </c>
      <c r="F28" s="46" t="s">
        <v>464</v>
      </c>
      <c r="G28" s="46" t="s">
        <v>465</v>
      </c>
      <c r="H28" s="46" t="s">
        <v>466</v>
      </c>
      <c r="I28" s="46" t="s">
        <v>430</v>
      </c>
      <c r="J28" s="46" t="s">
        <v>9</v>
      </c>
      <c r="K28" s="46" t="s">
        <v>467</v>
      </c>
      <c r="L28" s="47" t="s">
        <v>310</v>
      </c>
      <c r="M28" s="48" t="s">
        <v>468</v>
      </c>
      <c r="N28" s="52" t="s">
        <v>124</v>
      </c>
    </row>
    <row r="29" customFormat="false" ht="66" hidden="false" customHeight="true" outlineLevel="0" collapsed="false">
      <c r="A29" s="46" t="s">
        <v>252</v>
      </c>
      <c r="B29" s="46" t="s">
        <v>469</v>
      </c>
      <c r="C29" s="46" t="s">
        <v>4</v>
      </c>
      <c r="D29" s="46" t="s">
        <v>244</v>
      </c>
      <c r="E29" s="46" t="s">
        <v>470</v>
      </c>
      <c r="F29" s="46" t="s">
        <v>471</v>
      </c>
      <c r="G29" s="46" t="s">
        <v>472</v>
      </c>
      <c r="H29" s="46" t="s">
        <v>473</v>
      </c>
      <c r="I29" s="46" t="s">
        <v>474</v>
      </c>
      <c r="J29" s="46" t="s">
        <v>9</v>
      </c>
      <c r="K29" s="46" t="s">
        <v>475</v>
      </c>
      <c r="L29" s="47" t="s">
        <v>310</v>
      </c>
      <c r="M29" s="48" t="s">
        <v>476</v>
      </c>
      <c r="N29" s="52" t="s">
        <v>124</v>
      </c>
    </row>
    <row r="30" customFormat="false" ht="15.75" hidden="false" customHeight="true" outlineLevel="0" collapsed="false">
      <c r="A30" s="50" t="s">
        <v>243</v>
      </c>
      <c r="B30" s="50" t="s">
        <v>477</v>
      </c>
      <c r="C30" s="50" t="s">
        <v>4</v>
      </c>
      <c r="D30" s="50" t="s">
        <v>244</v>
      </c>
      <c r="E30" s="50" t="s">
        <v>478</v>
      </c>
      <c r="F30" s="50" t="s">
        <v>479</v>
      </c>
      <c r="G30" s="50" t="s">
        <v>480</v>
      </c>
      <c r="H30" s="50" t="s">
        <v>481</v>
      </c>
      <c r="I30" s="50" t="s">
        <v>482</v>
      </c>
      <c r="J30" s="50" t="s">
        <v>9</v>
      </c>
      <c r="K30" s="50" t="s">
        <v>483</v>
      </c>
      <c r="L30" s="47" t="s">
        <v>310</v>
      </c>
      <c r="M30" s="51" t="s">
        <v>484</v>
      </c>
      <c r="N30" s="49" t="s">
        <v>127</v>
      </c>
    </row>
    <row r="31" customFormat="false" ht="15.75" hidden="false" customHeight="true" outlineLevel="0" collapsed="false">
      <c r="A31" s="50" t="s">
        <v>174</v>
      </c>
      <c r="B31" s="50" t="s">
        <v>485</v>
      </c>
      <c r="C31" s="50" t="s">
        <v>3</v>
      </c>
      <c r="D31" s="50" t="s">
        <v>26</v>
      </c>
      <c r="E31" s="50" t="s">
        <v>486</v>
      </c>
      <c r="F31" s="50" t="s">
        <v>487</v>
      </c>
      <c r="G31" s="50" t="s">
        <v>488</v>
      </c>
      <c r="H31" s="50" t="s">
        <v>489</v>
      </c>
      <c r="I31" s="50" t="s">
        <v>490</v>
      </c>
      <c r="J31" s="50" t="s">
        <v>9</v>
      </c>
      <c r="K31" s="50" t="s">
        <v>491</v>
      </c>
      <c r="L31" s="47" t="s">
        <v>310</v>
      </c>
      <c r="M31" s="51" t="s">
        <v>492</v>
      </c>
      <c r="N31" s="52" t="s">
        <v>124</v>
      </c>
    </row>
    <row r="32" customFormat="false" ht="15.75" hidden="false" customHeight="true" outlineLevel="0" collapsed="false">
      <c r="A32" s="46" t="s">
        <v>175</v>
      </c>
      <c r="B32" s="46" t="s">
        <v>493</v>
      </c>
      <c r="C32" s="46" t="s">
        <v>3</v>
      </c>
      <c r="D32" s="46" t="s">
        <v>26</v>
      </c>
      <c r="E32" s="46" t="s">
        <v>494</v>
      </c>
      <c r="F32" s="46" t="s">
        <v>495</v>
      </c>
      <c r="G32" s="46" t="s">
        <v>496</v>
      </c>
      <c r="H32" s="46" t="s">
        <v>497</v>
      </c>
      <c r="I32" s="46" t="s">
        <v>498</v>
      </c>
      <c r="J32" s="46" t="s">
        <v>9</v>
      </c>
      <c r="K32" s="46" t="s">
        <v>499</v>
      </c>
      <c r="L32" s="47" t="s">
        <v>310</v>
      </c>
      <c r="M32" s="48" t="s">
        <v>500</v>
      </c>
      <c r="N32" s="52" t="s">
        <v>124</v>
      </c>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N28"/>
  <mergeCells count="2">
    <mergeCell ref="A1:K1"/>
    <mergeCell ref="A2:K2"/>
  </mergeCells>
  <conditionalFormatting sqref="C5:C1000">
    <cfRule type="cellIs" priority="2" operator="equal" aboveAverage="0" equalAverage="0" bottom="0" percent="0" rank="0" text="" dxfId="13">
      <formula>"SMS"</formula>
    </cfRule>
    <cfRule type="cellIs" priority="3" operator="equal" aboveAverage="0" equalAverage="0" bottom="0" percent="0" rank="0" text="" dxfId="14">
      <formula>"Email"</formula>
    </cfRule>
    <cfRule type="cellIs" priority="4" operator="equal" aboveAverage="0" equalAverage="0" bottom="0" percent="0" rank="0" text="" dxfId="15">
      <formula>"SMS+Email"</formula>
    </cfRule>
  </conditionalFormatting>
  <conditionalFormatting sqref="D5:D1000">
    <cfRule type="cellIs" priority="5" operator="equal" aboveAverage="0" equalAverage="0" bottom="0" percent="0" rank="0" text="" dxfId="16">
      <formula>"Lender"</formula>
    </cfRule>
    <cfRule type="cellIs" priority="6" operator="equal" aboveAverage="0" equalAverage="0" bottom="0" percent="0" rank="0" text="" dxfId="17">
      <formula>"Borrower"</formula>
    </cfRule>
    <cfRule type="cellIs" priority="7" operator="equal" aboveAverage="0" equalAverage="0" bottom="0" percent="0" rank="0" text="" dxfId="18">
      <formula>"Both"</formula>
    </cfRule>
  </conditionalFormatting>
  <conditionalFormatting sqref="J5:J1000">
    <cfRule type="cellIs" priority="8" operator="equal" aboveAverage="0" equalAverage="0" bottom="0" percent="0" rank="0" text="" dxfId="19">
      <formula>"Verified"</formula>
    </cfRule>
    <cfRule type="cellIs" priority="9" operator="equal" aboveAverage="0" equalAverage="0" bottom="0" percent="0" rank="0" text="" dxfId="20">
      <formula>"In review"</formula>
    </cfRule>
    <cfRule type="cellIs" priority="10" operator="equal" aboveAverage="0" equalAverage="0" bottom="0" percent="0" rank="0" text="" dxfId="21">
      <formula>"Broken"</formula>
    </cfRule>
    <cfRule type="cellIs" priority="11" operator="equal" aboveAverage="0" equalAverage="0" bottom="0" percent="0" rank="0" text="" dxfId="22">
      <formula>"Not yet live"</formula>
    </cfRule>
  </conditionalFormatting>
  <dataValidations count="5">
    <dataValidation allowBlank="true" errorStyle="stop" operator="between" showDropDown="false" showErrorMessage="false" showInputMessage="false" sqref="L5:L28" type="list">
      <formula1>"Yes,No,Deprecated,Partial"</formula1>
      <formula2>0</formula2>
    </dataValidation>
    <dataValidation allowBlank="true" errorStyle="stop" operator="between" showDropDown="false" showErrorMessage="false" showInputMessage="false" sqref="J5:J79" type="list">
      <formula1>"Verified,In review,Broken,Not yet live"</formula1>
      <formula2>0</formula2>
    </dataValidation>
    <dataValidation allowBlank="true" errorStyle="stop" operator="between" showDropDown="false" showErrorMessage="false" showInputMessage="false" sqref="C5:C79" type="list">
      <formula1>"SMS,Email,SMS+Email"</formula1>
      <formula2>0</formula2>
    </dataValidation>
    <dataValidation allowBlank="true" errorStyle="stop" operator="between" showDropDown="false" showErrorMessage="false" showInputMessage="false" sqref="D5:D79" type="list">
      <formula1>"Lender,Borrower,Both"</formula1>
      <formula2>0</formula2>
    </dataValidation>
    <dataValidation allowBlank="true" errorStyle="stop" operator="between" showDropDown="false" showErrorMessage="false" showInputMessage="false" sqref="N5:N28"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1" width="22"/>
    <col collapsed="false" customWidth="true" hidden="false" outlineLevel="0" max="2" min="2" style="1" width="90"/>
    <col collapsed="false" customWidth="true" hidden="false" outlineLevel="0" max="6" min="3" style="1" width="8.71"/>
  </cols>
  <sheetData>
    <row r="1" customFormat="false" ht="27.75" hidden="false" customHeight="true" outlineLevel="0" collapsed="false">
      <c r="A1" s="2" t="s">
        <v>501</v>
      </c>
      <c r="B1" s="2"/>
    </row>
    <row r="3" customFormat="false" ht="49.5" hidden="false" customHeight="true" outlineLevel="0" collapsed="false">
      <c r="A3" s="57" t="s">
        <v>149</v>
      </c>
      <c r="B3" s="58" t="s">
        <v>502</v>
      </c>
    </row>
    <row r="4" customFormat="false" ht="49.5" hidden="false" customHeight="true" outlineLevel="0" collapsed="false">
      <c r="A4" s="57" t="s">
        <v>150</v>
      </c>
      <c r="B4" s="58" t="s">
        <v>503</v>
      </c>
    </row>
    <row r="5" customFormat="false" ht="49.5" hidden="false" customHeight="true" outlineLevel="0" collapsed="false">
      <c r="A5" s="57" t="s">
        <v>9</v>
      </c>
      <c r="B5" s="58" t="s">
        <v>504</v>
      </c>
    </row>
    <row r="6" customFormat="false" ht="49.5" hidden="false" customHeight="true" outlineLevel="0" collapsed="false">
      <c r="A6" s="57" t="s">
        <v>505</v>
      </c>
      <c r="B6" s="58" t="s">
        <v>506</v>
      </c>
    </row>
    <row r="7" customFormat="false" ht="49.5" hidden="false" customHeight="true" outlineLevel="0" collapsed="false">
      <c r="A7" s="57" t="s">
        <v>507</v>
      </c>
      <c r="B7" s="58" t="s">
        <v>508</v>
      </c>
    </row>
    <row r="8" customFormat="false" ht="49.5" hidden="false" customHeight="true" outlineLevel="0" collapsed="false">
      <c r="A8" s="57" t="s">
        <v>509</v>
      </c>
      <c r="B8" s="58" t="s">
        <v>510</v>
      </c>
    </row>
    <row r="9" customFormat="false" ht="49.5" hidden="false" customHeight="true" outlineLevel="0" collapsed="false">
      <c r="A9" s="57" t="s">
        <v>511</v>
      </c>
      <c r="B9" s="58" t="s">
        <v>512</v>
      </c>
    </row>
    <row r="10" customFormat="false" ht="49.5" hidden="false" customHeight="true" outlineLevel="0" collapsed="false">
      <c r="A10" s="57" t="s">
        <v>513</v>
      </c>
      <c r="B10" s="58" t="s">
        <v>514</v>
      </c>
    </row>
    <row r="12" customFormat="false" ht="15" hidden="false" customHeight="true" outlineLevel="0" collapsed="false">
      <c r="A12" s="59" t="s">
        <v>515</v>
      </c>
      <c r="B12" s="60" t="s">
        <v>516</v>
      </c>
    </row>
    <row r="13" customFormat="false" ht="15" hidden="false" customHeight="true" outlineLevel="0" collapsed="false">
      <c r="A13" s="59" t="s">
        <v>517</v>
      </c>
      <c r="B13" s="60" t="s">
        <v>518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10"/>
    <col collapsed="false" customWidth="true" hidden="false" outlineLevel="0" max="4" min="4" style="1" width="12"/>
    <col collapsed="false" customWidth="true" hidden="false" outlineLevel="0" max="5" min="5" style="1" width="28"/>
    <col collapsed="false" customWidth="true" hidden="false" outlineLevel="0" max="6" min="6" style="1" width="24"/>
    <col collapsed="false" customWidth="true" hidden="false" outlineLevel="0" max="7" min="7" style="1" width="50"/>
    <col collapsed="false" customWidth="true" hidden="false" outlineLevel="0" max="8" min="8" style="1" width="20"/>
    <col collapsed="false" customWidth="true" hidden="false" outlineLevel="0" max="9" min="9" style="1" width="18"/>
    <col collapsed="false" customWidth="true" hidden="false" outlineLevel="0" max="10" min="10" style="1" width="40"/>
  </cols>
  <sheetData>
    <row r="1" customFormat="false" ht="31.5" hidden="false" customHeight="true" outlineLevel="0" collapsed="false">
      <c r="A1" s="2" t="s">
        <v>519</v>
      </c>
      <c r="B1" s="2"/>
      <c r="C1" s="2"/>
      <c r="D1" s="2"/>
      <c r="E1" s="2"/>
      <c r="F1" s="2"/>
      <c r="G1" s="2"/>
      <c r="H1" s="2"/>
      <c r="I1" s="2"/>
      <c r="J1" s="2"/>
    </row>
    <row r="2" customFormat="false" ht="21.75" hidden="false" customHeight="true" outlineLevel="0" collapsed="false">
      <c r="A2" s="3" t="s">
        <v>520</v>
      </c>
      <c r="B2" s="3"/>
      <c r="C2" s="3"/>
      <c r="D2" s="3"/>
      <c r="E2" s="3"/>
      <c r="F2" s="3"/>
      <c r="G2" s="3"/>
      <c r="H2" s="3"/>
      <c r="I2" s="3"/>
      <c r="J2" s="3"/>
    </row>
    <row r="4" customFormat="false" ht="30" hidden="false" customHeight="true" outlineLevel="0" collapsed="false">
      <c r="A4" s="45" t="s">
        <v>302</v>
      </c>
      <c r="B4" s="45" t="s">
        <v>151</v>
      </c>
      <c r="C4" s="45" t="s">
        <v>149</v>
      </c>
      <c r="D4" s="45" t="s">
        <v>150</v>
      </c>
      <c r="E4" s="45" t="s">
        <v>294</v>
      </c>
      <c r="F4" s="45" t="s">
        <v>295</v>
      </c>
      <c r="G4" s="45" t="s">
        <v>296</v>
      </c>
      <c r="H4" s="45" t="s">
        <v>521</v>
      </c>
      <c r="I4" s="45" t="s">
        <v>94</v>
      </c>
      <c r="J4" s="45" t="s">
        <v>522</v>
      </c>
    </row>
    <row r="5" customFormat="false" ht="120" hidden="false" customHeight="true" outlineLevel="0" collapsed="false">
      <c r="A5" s="46" t="s">
        <v>342</v>
      </c>
      <c r="B5" s="46" t="s">
        <v>523</v>
      </c>
      <c r="C5" s="46" t="s">
        <v>4</v>
      </c>
      <c r="D5" s="46" t="s">
        <v>20</v>
      </c>
      <c r="E5" s="46" t="s">
        <v>524</v>
      </c>
      <c r="F5" s="46" t="s">
        <v>525</v>
      </c>
      <c r="G5" s="46" t="s">
        <v>526</v>
      </c>
      <c r="H5" s="46" t="s">
        <v>527</v>
      </c>
      <c r="I5" s="46" t="s">
        <v>528</v>
      </c>
      <c r="J5" s="46" t="s">
        <v>529</v>
      </c>
    </row>
    <row r="6" customFormat="false" ht="120" hidden="false" customHeight="true" outlineLevel="0" collapsed="false">
      <c r="A6" s="50" t="s">
        <v>342</v>
      </c>
      <c r="B6" s="50" t="s">
        <v>530</v>
      </c>
      <c r="C6" s="50" t="s">
        <v>4</v>
      </c>
      <c r="D6" s="50" t="s">
        <v>20</v>
      </c>
      <c r="E6" s="50" t="s">
        <v>531</v>
      </c>
      <c r="F6" s="50" t="s">
        <v>404</v>
      </c>
      <c r="G6" s="50" t="s">
        <v>532</v>
      </c>
      <c r="H6" s="50" t="s">
        <v>527</v>
      </c>
      <c r="I6" s="50" t="s">
        <v>528</v>
      </c>
      <c r="J6" s="50" t="s">
        <v>533</v>
      </c>
    </row>
    <row r="7" customFormat="false" ht="120" hidden="false" customHeight="true" outlineLevel="0" collapsed="false">
      <c r="A7" s="46" t="s">
        <v>127</v>
      </c>
      <c r="B7" s="46" t="s">
        <v>534</v>
      </c>
      <c r="C7" s="46" t="s">
        <v>3</v>
      </c>
      <c r="D7" s="46" t="s">
        <v>20</v>
      </c>
      <c r="E7" s="46" t="s">
        <v>535</v>
      </c>
      <c r="F7" s="46" t="s">
        <v>536</v>
      </c>
      <c r="G7" s="46" t="s">
        <v>537</v>
      </c>
      <c r="H7" s="46" t="s">
        <v>538</v>
      </c>
      <c r="I7" s="46" t="s">
        <v>539</v>
      </c>
      <c r="J7" s="46" t="s">
        <v>540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J7"/>
  <mergeCells count="2">
    <mergeCell ref="A1:J1"/>
    <mergeCell ref="A2:J2"/>
  </mergeCells>
  <conditionalFormatting sqref="A5:A1000">
    <cfRule type="cellIs" priority="2" operator="equal" aboveAverage="0" equalAverage="0" bottom="0" percent="0" rank="0" text="" dxfId="21">
      <formula>"P0"</formula>
    </cfRule>
    <cfRule type="cellIs" priority="3" operator="equal" aboveAverage="0" equalAverage="0" bottom="0" percent="0" rank="0" text="" dxfId="20">
      <formula>"P1"</formula>
    </cfRule>
    <cfRule type="cellIs" priority="4" operator="equal" aboveAverage="0" equalAverage="0" bottom="0" percent="0" rank="0" text="" dxfId="25">
      <formula>"P2"</formula>
    </cfRule>
  </conditionalFormatting>
  <conditionalFormatting sqref="C5:C1000">
    <cfRule type="cellIs" priority="5" operator="equal" aboveAverage="0" equalAverage="0" bottom="0" percent="0" rank="0" text="" dxfId="13">
      <formula>"SMS"</formula>
    </cfRule>
    <cfRule type="cellIs" priority="6" operator="equal" aboveAverage="0" equalAverage="0" bottom="0" percent="0" rank="0" text="" dxfId="14">
      <formula>"Email"</formula>
    </cfRule>
  </conditionalFormatting>
  <conditionalFormatting sqref="D5:D1000">
    <cfRule type="cellIs" priority="7" operator="equal" aboveAverage="0" equalAverage="0" bottom="0" percent="0" rank="0" text="" dxfId="16">
      <formula>"Lender"</formula>
    </cfRule>
    <cfRule type="cellIs" priority="8" operator="equal" aboveAverage="0" equalAverage="0" bottom="0" percent="0" rank="0" text="" dxfId="17">
      <formula>"Borrower"</formula>
    </cfRule>
  </conditionalFormatting>
  <conditionalFormatting sqref="I5:I1000">
    <cfRule type="cellIs" priority="9" operator="equal" aboveAverage="0" equalAverage="0" bottom="0" percent="0" rank="0" text="" dxfId="20">
      <formula>"Proposed"</formula>
    </cfRule>
    <cfRule type="cellIs" priority="10" operator="equal" aboveAverage="0" equalAverage="0" bottom="0" percent="0" rank="0" text="" dxfId="13">
      <formula>"In progress"</formula>
    </cfRule>
    <cfRule type="cellIs" priority="11" operator="equal" aboveAverage="0" equalAverage="0" bottom="0" percent="0" rank="0" text="" dxfId="21">
      <formula>"Blocked"</formula>
    </cfRule>
    <cfRule type="cellIs" priority="12" operator="equal" aboveAverage="0" equalAverage="0" bottom="0" percent="0" rank="0" text="" dxfId="19">
      <formula>"Ready to promote"</formula>
    </cfRule>
  </conditionalFormatting>
  <dataValidations count="4">
    <dataValidation allowBlank="true" errorStyle="stop" operator="between" showDropDown="false" showErrorMessage="false" showInputMessage="false" sqref="C5:C37" type="list">
      <formula1>"SMS,Email,SMS+Email,Push,In-app"</formula1>
      <formula2>0</formula2>
    </dataValidation>
    <dataValidation allowBlank="true" errorStyle="stop" operator="between" showDropDown="false" showErrorMessage="false" showInputMessage="false" sqref="D5:D37" type="list">
      <formula1>"Lender,Borrower,Both,Operator"</formula1>
      <formula2>0</formula2>
    </dataValidation>
    <dataValidation allowBlank="true" errorStyle="stop" operator="between" showDropDown="false" showErrorMessage="false" showInputMessage="false" sqref="A5:A37" type="list">
      <formula1>"P0,P1,P2"</formula1>
      <formula2>0</formula2>
    </dataValidation>
    <dataValidation allowBlank="true" errorStyle="stop" operator="between" showDropDown="false" showErrorMessage="false" showInputMessage="false" sqref="I5:I37" type="list">
      <formula1>"Proposed,Not started,In progress,Blocked,Ready to promote,Shipped"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5"/>
    <col collapsed="false" customWidth="true" hidden="false" outlineLevel="0" max="3" min="3" style="1" width="55"/>
    <col collapsed="false" customWidth="true" hidden="false" outlineLevel="0" max="4" min="4" style="1" width="40"/>
  </cols>
  <sheetData>
    <row r="1" customFormat="false" ht="17.25" hidden="false" customHeight="true" outlineLevel="0" collapsed="false">
      <c r="A1" s="61" t="s">
        <v>541</v>
      </c>
      <c r="B1" s="61"/>
      <c r="C1" s="61"/>
      <c r="D1" s="61"/>
    </row>
    <row r="2" customFormat="false" ht="15" hidden="false" customHeight="true" outlineLevel="0" collapsed="false">
      <c r="A2" s="62" t="s">
        <v>542</v>
      </c>
      <c r="B2" s="62"/>
      <c r="C2" s="62"/>
      <c r="D2" s="62"/>
    </row>
    <row r="4" customFormat="false" ht="15" hidden="false" customHeight="true" outlineLevel="0" collapsed="false">
      <c r="A4" s="63" t="s">
        <v>543</v>
      </c>
      <c r="B4" s="63"/>
      <c r="C4" s="63"/>
      <c r="D4" s="63"/>
    </row>
    <row r="5" customFormat="false" ht="15" hidden="false" customHeight="true" outlineLevel="0" collapsed="false">
      <c r="A5" s="64" t="s">
        <v>35</v>
      </c>
      <c r="B5" s="64" t="s">
        <v>544</v>
      </c>
      <c r="C5" s="64" t="s">
        <v>545</v>
      </c>
      <c r="D5" s="64" t="s">
        <v>546</v>
      </c>
    </row>
    <row r="6" customFormat="false" ht="23.25" hidden="false" customHeight="true" outlineLevel="0" collapsed="false">
      <c r="A6" s="65" t="s">
        <v>123</v>
      </c>
      <c r="B6" s="66" t="s">
        <v>547</v>
      </c>
      <c r="C6" s="66" t="s">
        <v>548</v>
      </c>
      <c r="D6" s="60" t="s">
        <v>549</v>
      </c>
    </row>
    <row r="7" customFormat="false" ht="23.25" hidden="false" customHeight="true" outlineLevel="0" collapsed="false">
      <c r="A7" s="65" t="s">
        <v>125</v>
      </c>
      <c r="B7" s="66" t="s">
        <v>550</v>
      </c>
      <c r="C7" s="66" t="s">
        <v>551</v>
      </c>
      <c r="D7" s="60" t="s">
        <v>552</v>
      </c>
    </row>
    <row r="8" customFormat="false" ht="23.25" hidden="false" customHeight="true" outlineLevel="0" collapsed="false">
      <c r="A8" s="65" t="s">
        <v>126</v>
      </c>
      <c r="B8" s="66" t="s">
        <v>553</v>
      </c>
      <c r="C8" s="66" t="s">
        <v>554</v>
      </c>
      <c r="D8" s="60" t="s">
        <v>555</v>
      </c>
    </row>
    <row r="10" customFormat="false" ht="15" hidden="false" customHeight="true" outlineLevel="0" collapsed="false">
      <c r="A10" s="63" t="s">
        <v>556</v>
      </c>
      <c r="B10" s="63"/>
      <c r="C10" s="63"/>
      <c r="D10" s="63"/>
    </row>
    <row r="11" customFormat="false" ht="15" hidden="false" customHeight="true" outlineLevel="0" collapsed="false">
      <c r="A11" s="64" t="s">
        <v>557</v>
      </c>
      <c r="B11" s="64" t="s">
        <v>558</v>
      </c>
      <c r="C11" s="64" t="s">
        <v>559</v>
      </c>
      <c r="D11" s="64" t="s">
        <v>155</v>
      </c>
    </row>
    <row r="12" customFormat="false" ht="49.5" hidden="false" customHeight="true" outlineLevel="0" collapsed="false">
      <c r="A12" s="67" t="s">
        <v>123</v>
      </c>
      <c r="B12" s="68" t="s">
        <v>560</v>
      </c>
      <c r="C12" s="68" t="s">
        <v>561</v>
      </c>
      <c r="D12" s="68" t="s">
        <v>562</v>
      </c>
    </row>
    <row r="13" customFormat="false" ht="49.5" hidden="false" customHeight="true" outlineLevel="0" collapsed="false">
      <c r="A13" s="69" t="s">
        <v>125</v>
      </c>
      <c r="B13" s="70" t="s">
        <v>563</v>
      </c>
      <c r="C13" s="70" t="s">
        <v>564</v>
      </c>
      <c r="D13" s="70" t="s">
        <v>565</v>
      </c>
    </row>
    <row r="14" customFormat="false" ht="49.5" hidden="false" customHeight="true" outlineLevel="0" collapsed="false">
      <c r="A14" s="67" t="s">
        <v>126</v>
      </c>
      <c r="B14" s="68" t="s">
        <v>566</v>
      </c>
      <c r="C14" s="68" t="s">
        <v>567</v>
      </c>
      <c r="D14" s="68" t="s">
        <v>568</v>
      </c>
    </row>
    <row r="15" customFormat="false" ht="49.5" hidden="false" customHeight="true" outlineLevel="0" collapsed="false">
      <c r="A15" s="69" t="s">
        <v>128</v>
      </c>
      <c r="B15" s="70" t="s">
        <v>569</v>
      </c>
      <c r="C15" s="70" t="s">
        <v>570</v>
      </c>
      <c r="D15" s="70" t="s">
        <v>571</v>
      </c>
    </row>
    <row r="16" customFormat="false" ht="49.5" hidden="false" customHeight="true" outlineLevel="0" collapsed="false">
      <c r="A16" s="67" t="s">
        <v>129</v>
      </c>
      <c r="B16" s="68" t="s">
        <v>572</v>
      </c>
      <c r="C16" s="68" t="s">
        <v>573</v>
      </c>
      <c r="D16" s="68" t="s">
        <v>574</v>
      </c>
    </row>
    <row r="17" customFormat="false" ht="49.5" hidden="false" customHeight="true" outlineLevel="0" collapsed="false">
      <c r="A17" s="69" t="s">
        <v>137</v>
      </c>
      <c r="B17" s="70" t="s">
        <v>575</v>
      </c>
      <c r="C17" s="70" t="s">
        <v>576</v>
      </c>
      <c r="D17" s="70" t="s">
        <v>577</v>
      </c>
    </row>
    <row r="18" customFormat="false" ht="49.5" hidden="false" customHeight="true" outlineLevel="0" collapsed="false">
      <c r="A18" s="67" t="s">
        <v>578</v>
      </c>
      <c r="B18" s="68" t="s">
        <v>579</v>
      </c>
      <c r="C18" s="68" t="s">
        <v>580</v>
      </c>
      <c r="D18" s="68" t="s">
        <v>581</v>
      </c>
    </row>
    <row r="19" customFormat="false" ht="49.5" hidden="false" customHeight="true" outlineLevel="0" collapsed="false">
      <c r="A19" s="69" t="s">
        <v>582</v>
      </c>
      <c r="B19" s="70" t="s">
        <v>583</v>
      </c>
      <c r="C19" s="70" t="s">
        <v>584</v>
      </c>
      <c r="D19" s="70" t="s">
        <v>585</v>
      </c>
    </row>
    <row r="20" customFormat="false" ht="49.5" hidden="false" customHeight="true" outlineLevel="0" collapsed="false"/>
    <row r="21" customFormat="false" ht="49.5" hidden="false" customHeight="true" outlineLevel="0" collapsed="false">
      <c r="A21" s="71" t="s">
        <v>586</v>
      </c>
      <c r="B21" s="71" t="s">
        <v>587</v>
      </c>
      <c r="C21" s="71" t="s">
        <v>588</v>
      </c>
      <c r="D21" s="71" t="s">
        <v>589</v>
      </c>
    </row>
  </sheetData>
  <mergeCells count="4">
    <mergeCell ref="A1:D1"/>
    <mergeCell ref="A2:D2"/>
    <mergeCell ref="A4:D4"/>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2026-04-15T20:06:30Z</dcterms:created>
  <dc:creator>openpyxl</dc:creator>
  <dc:description/>
  <dc:language>en-US</dc:language>
  <cp:lastModifiedBy/>
  <dcterms:modified xsi:type="dcterms:W3CDTF">2026-04-21T22:14:07Z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